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E81C745-C336-49D6-93F8-B4A74FCB568E}" xr6:coauthVersionLast="47" xr6:coauthVersionMax="47" xr10:uidLastSave="{00000000-0000-0000-0000-000000000000}"/>
  <bookViews>
    <workbookView xWindow="38280" yWindow="-120" windowWidth="51840" windowHeight="21120" xr2:uid="{00000000-000D-0000-FFFF-FFFF00000000}"/>
  </bookViews>
  <sheets>
    <sheet name="견적서" sheetId="1" r:id="rId1"/>
    <sheet name="세부내역" sheetId="2" r:id="rId2"/>
  </sheets>
  <definedNames>
    <definedName name="_xlnm._FilterDatabase" localSheetId="1" hidden="1">세부내역!$A$19:$H$39</definedName>
    <definedName name="_xlnm.Print_Area" localSheetId="0">견적서!$A$1:$H$28</definedName>
    <definedName name="_xlnm.Print_Area" localSheetId="1">세부내역!$A$1:$H$40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H39" i="2"/>
  <c r="G39" i="2"/>
  <c r="F13" i="2"/>
  <c r="G14" i="1" l="1"/>
  <c r="G15" i="1"/>
  <c r="G13" i="1"/>
  <c r="G24" i="1" s="1"/>
  <c r="G26" i="1" s="1"/>
  <c r="G27" i="1" s="1"/>
  <c r="G28" i="1" s="1"/>
</calcChain>
</file>

<file path=xl/sharedStrings.xml><?xml version="1.0" encoding="utf-8"?>
<sst xmlns="http://schemas.openxmlformats.org/spreadsheetml/2006/main" count="112" uniqueCount="93">
  <si>
    <t xml:space="preserve"> 발급일(Date)</t>
  </si>
  <si>
    <t xml:space="preserve"> 금   액(Amount) </t>
  </si>
  <si>
    <t xml:space="preserve"> 작성자(Proposer)</t>
  </si>
  <si>
    <t>산   출   근   거</t>
  </si>
  <si>
    <t xml:space="preserve"> 수신자(Recipient)</t>
  </si>
  <si>
    <t xml:space="preserve"> 견적명(Project)</t>
  </si>
  <si>
    <t>구  분</t>
  </si>
  <si>
    <t>비고</t>
    <phoneticPr fontId="14" type="noConversion"/>
  </si>
  <si>
    <t>유지관리점검(상반기)</t>
    <phoneticPr fontId="14" type="noConversion"/>
  </si>
  <si>
    <t>연면적</t>
    <phoneticPr fontId="14" type="noConversion"/>
  </si>
  <si>
    <t>유지관리점검(하반기)</t>
    <phoneticPr fontId="14" type="noConversion"/>
  </si>
  <si>
    <t>성능 점검</t>
    <phoneticPr fontId="14" type="noConversion"/>
  </si>
  <si>
    <t>견  적  서</t>
    <phoneticPr fontId="14" type="noConversion"/>
  </si>
  <si>
    <t>상기 프로젝트에 대한 견적을 하기와 같이 제출합니다.</t>
    <phoneticPr fontId="14" type="noConversion"/>
  </si>
  <si>
    <t>부 가 세</t>
    <phoneticPr fontId="14" type="noConversion"/>
  </si>
  <si>
    <t>합 계</t>
    <phoneticPr fontId="14" type="noConversion"/>
  </si>
  <si>
    <t>공급가</t>
    <phoneticPr fontId="14" type="noConversion"/>
  </si>
  <si>
    <t>최종제안가(기본가)</t>
    <phoneticPr fontId="14" type="noConversion"/>
  </si>
  <si>
    <t>행 정 구 역</t>
    <phoneticPr fontId="22" type="noConversion"/>
  </si>
  <si>
    <t>연 면 적</t>
    <phoneticPr fontId="22" type="noConversion"/>
  </si>
  <si>
    <t>선 임 기 준</t>
    <phoneticPr fontId="22" type="noConversion"/>
  </si>
  <si>
    <t>항    목</t>
    <phoneticPr fontId="22" type="noConversion"/>
  </si>
  <si>
    <t>금    액</t>
    <phoneticPr fontId="22" type="noConversion"/>
  </si>
  <si>
    <t>적 용 값</t>
    <phoneticPr fontId="22" type="noConversion"/>
  </si>
  <si>
    <t>비    고</t>
    <phoneticPr fontId="22" type="noConversion"/>
  </si>
  <si>
    <t xml:space="preserve"> 1. 직접인건비</t>
    <phoneticPr fontId="22" type="noConversion"/>
  </si>
  <si>
    <t xml:space="preserve"> 2. 직접경비</t>
    <phoneticPr fontId="22" type="noConversion"/>
  </si>
  <si>
    <t>식</t>
    <phoneticPr fontId="22" type="noConversion"/>
  </si>
  <si>
    <t>소    계</t>
    <phoneticPr fontId="22" type="noConversion"/>
  </si>
  <si>
    <t xml:space="preserve"> 3. 제경비</t>
    <phoneticPr fontId="22" type="noConversion"/>
  </si>
  <si>
    <t>(직접인건비의 110~120%)</t>
  </si>
  <si>
    <t xml:space="preserve"> 4. 기술료</t>
    <phoneticPr fontId="22" type="noConversion"/>
  </si>
  <si>
    <t>((직접인건비+제경비)의 20~40%)</t>
  </si>
  <si>
    <t>합    계</t>
    <phoneticPr fontId="22" type="noConversion"/>
  </si>
  <si>
    <t>분    류</t>
    <phoneticPr fontId="22" type="noConversion"/>
  </si>
  <si>
    <t>세  부  내  역</t>
    <phoneticPr fontId="22" type="noConversion"/>
  </si>
  <si>
    <t>단    위</t>
    <phoneticPr fontId="22" type="noConversion"/>
  </si>
  <si>
    <t>기준인원</t>
    <phoneticPr fontId="22" type="noConversion"/>
  </si>
  <si>
    <t>통 신 설 비</t>
    <phoneticPr fontId="22" type="noConversion"/>
  </si>
  <si>
    <t>케이블설비</t>
    <phoneticPr fontId="22" type="noConversion"/>
  </si>
  <si>
    <t>배관설비</t>
    <phoneticPr fontId="22" type="noConversion"/>
  </si>
  <si>
    <t>국선인입설비</t>
    <phoneticPr fontId="22" type="noConversion"/>
  </si>
  <si>
    <t>단자함설비</t>
    <phoneticPr fontId="22" type="noConversion"/>
  </si>
  <si>
    <t>이동통신구내선로설비</t>
    <phoneticPr fontId="22" type="noConversion"/>
  </si>
  <si>
    <t>전화설비</t>
    <phoneticPr fontId="22" type="noConversion"/>
  </si>
  <si>
    <t>방송 공동수신 안테나 시설</t>
    <phoneticPr fontId="22" type="noConversion"/>
  </si>
  <si>
    <t>종합유선방송 구내전송선로설비</t>
    <phoneticPr fontId="22" type="noConversion"/>
  </si>
  <si>
    <t>방 송 설 비</t>
    <phoneticPr fontId="22" type="noConversion"/>
  </si>
  <si>
    <t>방송음향설비</t>
    <phoneticPr fontId="22" type="noConversion"/>
  </si>
  <si>
    <t>기 타 설 비</t>
    <phoneticPr fontId="22" type="noConversion"/>
  </si>
  <si>
    <t>통신용전원설비</t>
    <phoneticPr fontId="22" type="noConversion"/>
  </si>
  <si>
    <t>통신접지설비</t>
    <phoneticPr fontId="22" type="noConversion"/>
  </si>
  <si>
    <t>정 보 설 비</t>
    <phoneticPr fontId="22" type="noConversion"/>
  </si>
  <si>
    <t>네트워크설비</t>
  </si>
  <si>
    <t>전자출입(통제)시스템</t>
  </si>
  <si>
    <t>원격검침시스템</t>
  </si>
  <si>
    <t>주차관제시스템</t>
  </si>
  <si>
    <t>영상정보처리기기 시스템</t>
  </si>
  <si>
    <t>전기시계시스템</t>
  </si>
  <si>
    <t>시설관리시스템 (Facility Management System)</t>
    <phoneticPr fontId="22" type="noConversion"/>
  </si>
  <si>
    <t>수  량</t>
    <phoneticPr fontId="14" type="noConversion"/>
  </si>
  <si>
    <r>
      <t xml:space="preserve"> 기  간
</t>
    </r>
    <r>
      <rPr>
        <b/>
        <sz val="8"/>
        <color rgb="FF000000"/>
        <rFont val="굴림"/>
        <family val="3"/>
        <charset val="129"/>
      </rPr>
      <t>(일)</t>
    </r>
    <phoneticPr fontId="14" type="noConversion"/>
  </si>
  <si>
    <r>
      <t xml:space="preserve"> 단 가
</t>
    </r>
    <r>
      <rPr>
        <b/>
        <sz val="8"/>
        <color rgb="FF000000"/>
        <rFont val="굴림"/>
        <family val="3"/>
        <charset val="129"/>
      </rPr>
      <t>(원)</t>
    </r>
    <phoneticPr fontId="14" type="noConversion"/>
  </si>
  <si>
    <t xml:space="preserve"> 금  액</t>
    <phoneticPr fontId="14" type="noConversion"/>
  </si>
  <si>
    <t>정보통신설비 유지보수·관리 및 성능 점검 대가계산서(1회 점검기준)</t>
    <phoneticPr fontId="14" type="noConversion"/>
  </si>
  <si>
    <t xml:space="preserve">   o 상기견적의 산출은 요구자의 설비점검 내역에 따라 산출하였습니다. 
   o 정보통신공사협회의 대가산정 기준을 준용하여 산출되었습니다.
   o 대금 지급 조건 : 용역 의뢰 시 선납하는 것을 원칙으로 합니다. 
   o 본 견적서는 발급일로부터 30일간 유효합니다.</t>
    <phoneticPr fontId="14" type="noConversion"/>
  </si>
  <si>
    <t>VAT별도 기준</t>
    <phoneticPr fontId="22" type="noConversion"/>
  </si>
  <si>
    <t>적 용 계 수</t>
    <phoneticPr fontId="22" type="noConversion"/>
  </si>
  <si>
    <t>할인율</t>
    <phoneticPr fontId="14" type="noConversion"/>
  </si>
  <si>
    <t>금액</t>
    <phoneticPr fontId="14" type="noConversion"/>
  </si>
  <si>
    <t>한국전파진흥협회</t>
    <phoneticPr fontId="14" type="noConversion"/>
  </si>
  <si>
    <t>견적서 엑셀 다운로드 일자</t>
    <phoneticPr fontId="14" type="noConversion"/>
  </si>
  <si>
    <t>견적서 엑셀 다운로드 버튼 누르면 수신자 입력 받아야함</t>
    <phoneticPr fontId="14" type="noConversion"/>
  </si>
  <si>
    <t xml:space="preserve">   주소 : 회사 관리의 주소</t>
    <phoneticPr fontId="14" type="noConversion"/>
  </si>
  <si>
    <t xml:space="preserve">   연락처 : 회사 관리의 연락처</t>
    <phoneticPr fontId="14" type="noConversion"/>
  </si>
  <si>
    <t xml:space="preserve">   e-mail : 회사 관리의 이메일</t>
    <phoneticPr fontId="14" type="noConversion"/>
  </si>
  <si>
    <t xml:space="preserve">   사업자번호 : 회사 관리의 사업자번호 / 대 표 : 회사 관리의 대표자명 (인)</t>
    <phoneticPr fontId="14" type="noConversion"/>
  </si>
  <si>
    <t>건축물 등록에서 입력받은 회사명</t>
    <phoneticPr fontId="14" type="noConversion"/>
  </si>
  <si>
    <t xml:space="preserve">   정보통신설비 유지관리 및 성능 점검(건축물 등록에서 입력받은 주소)</t>
    <phoneticPr fontId="14" type="noConversion"/>
  </si>
  <si>
    <t>건 축 물 명</t>
    <phoneticPr fontId="22" type="noConversion"/>
  </si>
  <si>
    <t>건축물명</t>
    <phoneticPr fontId="22" type="noConversion"/>
  </si>
  <si>
    <t>시/도</t>
    <phoneticPr fontId="22" type="noConversion"/>
  </si>
  <si>
    <t>여비</t>
    <phoneticPr fontId="22" type="noConversion"/>
  </si>
  <si>
    <t>차량운행비</t>
    <phoneticPr fontId="14" type="noConversion"/>
  </si>
  <si>
    <t>대상 설비 점검 금액 합계</t>
    <phoneticPr fontId="22" type="noConversion"/>
  </si>
  <si>
    <t>• 유지관리 및 성능점검 대상 정보통신설비 세부 산정 내역</t>
    <phoneticPr fontId="14" type="noConversion"/>
  </si>
  <si>
    <t>현장소요경비</t>
    <phoneticPr fontId="14" type="noConversion"/>
  </si>
  <si>
    <t>중급기술자</t>
    <phoneticPr fontId="14" type="noConversion"/>
  </si>
  <si>
    <t>전체</t>
    <phoneticPr fontId="14" type="noConversion"/>
  </si>
  <si>
    <t>18건</t>
    <phoneticPr fontId="22" type="noConversion"/>
  </si>
  <si>
    <t>기준인원 합계</t>
    <phoneticPr fontId="14" type="noConversion"/>
  </si>
  <si>
    <t>세부 산정 내역 금액 합계</t>
    <phoneticPr fontId="14" type="noConversion"/>
  </si>
  <si>
    <t>귀중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</si>
</sst>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5" formatCode="&quot;₩&quot;#,##0;\-&quot;₩&quot;#,##0"/>
    <numFmt numFmtId="41" formatCode="_-* #,##0_-;\-* #,##0_-;_-* &quot;-&quot;_-;_-@_-"/>
    <numFmt numFmtId="176" formatCode="yyyy&quot;년&quot;\ m&quot;월&quot;\ d&quot;일&quot;"/>
    <numFmt numFmtId="177" formatCode="&quot;₩&quot;#,##0"/>
    <numFmt numFmtId="178" formatCode="&quot;₩&quot;#,##0_);[Red]\(&quot;₩&quot;#,##0\)"/>
    <numFmt numFmtId="180" formatCode="#,###&quot;㎡&quot;"/>
    <numFmt numFmtId="182" formatCode="_-* #,##0_-;\-* #,##0_-;_-* &quot;-&quot;??_-;_-@_-"/>
    <numFmt numFmtId="183" formatCode="&quot;직접인건비의 &quot;0%"/>
    <numFmt numFmtId="184" formatCode="&quot;총&quot;\ #&quot;종&quot;"/>
    <numFmt numFmtId="189" formatCode="#,##0_);[Red]\(#,##0\)"/>
    <numFmt numFmtId="191" formatCode="#,##0.00_ "/>
  </numFmts>
  <fonts count="32">
    <font>
      <sz val="11"/>
      <color rgb="FF000000"/>
      <name val="돋움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14"/>
      <color rgb="FF000000"/>
      <name val="굴림"/>
      <family val="3"/>
      <charset val="129"/>
    </font>
    <font>
      <b/>
      <sz val="11"/>
      <color rgb="FF000000"/>
      <name val="굴림"/>
      <family val="3"/>
      <charset val="129"/>
    </font>
    <font>
      <sz val="11"/>
      <color rgb="FF000000"/>
      <name val="굴림"/>
      <family val="3"/>
      <charset val="129"/>
    </font>
    <font>
      <b/>
      <sz val="10"/>
      <color rgb="FF000000"/>
      <name val="굴림"/>
      <family val="3"/>
      <charset val="129"/>
    </font>
    <font>
      <b/>
      <sz val="8"/>
      <color rgb="FF000000"/>
      <name val="굴림"/>
      <family val="3"/>
      <charset val="129"/>
    </font>
    <font>
      <b/>
      <sz val="28"/>
      <color rgb="FF000000"/>
      <name val="굴림"/>
      <family val="3"/>
      <charset val="129"/>
    </font>
    <font>
      <b/>
      <sz val="20"/>
      <color rgb="FF000000"/>
      <name val="굴림"/>
      <family val="3"/>
      <charset val="129"/>
    </font>
    <font>
      <b/>
      <sz val="12"/>
      <color rgb="FF000000"/>
      <name val="굴림"/>
      <family val="3"/>
      <charset val="129"/>
    </font>
    <font>
      <sz val="10"/>
      <color rgb="FF000000"/>
      <name val="굴림"/>
      <family val="3"/>
      <charset val="129"/>
    </font>
    <font>
      <sz val="8"/>
      <name val="돋움"/>
      <family val="3"/>
      <charset val="129"/>
    </font>
    <font>
      <b/>
      <sz val="16"/>
      <color rgb="FF000000"/>
      <name val="굴림"/>
      <family val="3"/>
      <charset val="129"/>
    </font>
    <font>
      <sz val="14"/>
      <color rgb="FF000000"/>
      <name val="굴림"/>
      <family val="3"/>
      <charset val="129"/>
    </font>
    <font>
      <sz val="11"/>
      <color rgb="FF000000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u/>
      <sz val="28"/>
      <color rgb="FF000000"/>
      <name val="맑은 고딕"/>
      <family val="3"/>
      <charset val="129"/>
      <scheme val="major"/>
    </font>
    <font>
      <u/>
      <sz val="11"/>
      <color rgb="FF000000"/>
      <name val="맑은 고딕"/>
      <family val="3"/>
      <charset val="129"/>
      <scheme val="major"/>
    </font>
    <font>
      <sz val="11"/>
      <color rgb="FF000000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DEFEF1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</cellStyleXfs>
  <cellXfs count="132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77" fontId="7" fillId="0" borderId="1" xfId="0" applyNumberFormat="1" applyFont="1" applyBorder="1">
      <alignment vertical="center"/>
    </xf>
    <xf numFmtId="0" fontId="7" fillId="0" borderId="8" xfId="0" applyFont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180" fontId="19" fillId="5" borderId="1" xfId="1" applyNumberFormat="1" applyFont="1" applyFill="1" applyBorder="1" applyAlignment="1">
      <alignment vertical="center"/>
    </xf>
    <xf numFmtId="0" fontId="2" fillId="0" borderId="0" xfId="2" applyAlignment="1">
      <alignment horizontal="center" vertical="center"/>
    </xf>
    <xf numFmtId="0" fontId="2" fillId="0" borderId="0" xfId="2">
      <alignment vertical="center"/>
    </xf>
    <xf numFmtId="0" fontId="20" fillId="0" borderId="0" xfId="2" applyFont="1">
      <alignment vertical="center"/>
    </xf>
    <xf numFmtId="0" fontId="20" fillId="0" borderId="0" xfId="2" applyFont="1" applyAlignment="1">
      <alignment horizontal="center" vertical="center"/>
    </xf>
    <xf numFmtId="0" fontId="21" fillId="0" borderId="0" xfId="2" applyFont="1" applyAlignment="1">
      <alignment horizontal="center" vertical="center"/>
    </xf>
    <xf numFmtId="0" fontId="23" fillId="0" borderId="0" xfId="2" applyFont="1" applyAlignment="1">
      <alignment horizontal="left" vertical="center"/>
    </xf>
    <xf numFmtId="0" fontId="23" fillId="0" borderId="0" xfId="2" applyFont="1">
      <alignment vertical="center"/>
    </xf>
    <xf numFmtId="2" fontId="24" fillId="0" borderId="1" xfId="2" applyNumberFormat="1" applyFont="1" applyBorder="1" applyAlignment="1">
      <alignment horizontal="center" vertical="center"/>
    </xf>
    <xf numFmtId="0" fontId="25" fillId="0" borderId="1" xfId="2" applyFont="1" applyBorder="1" applyAlignment="1">
      <alignment horizontal="center" vertical="center"/>
    </xf>
    <xf numFmtId="182" fontId="26" fillId="5" borderId="1" xfId="3" applyNumberFormat="1" applyFont="1" applyFill="1" applyBorder="1" applyAlignment="1">
      <alignment horizontal="center" vertical="center"/>
    </xf>
    <xf numFmtId="9" fontId="0" fillId="5" borderId="19" xfId="3" applyNumberFormat="1" applyFont="1" applyFill="1" applyBorder="1" applyAlignment="1">
      <alignment horizontal="center" vertical="center"/>
    </xf>
    <xf numFmtId="183" fontId="25" fillId="5" borderId="1" xfId="3" applyNumberFormat="1" applyFont="1" applyFill="1" applyBorder="1" applyAlignment="1">
      <alignment horizontal="center" vertical="center"/>
    </xf>
    <xf numFmtId="41" fontId="24" fillId="6" borderId="1" xfId="3" applyFont="1" applyFill="1" applyBorder="1" applyAlignment="1">
      <alignment vertical="center"/>
    </xf>
    <xf numFmtId="41" fontId="24" fillId="6" borderId="19" xfId="3" applyFont="1" applyFill="1" applyBorder="1" applyAlignment="1">
      <alignment vertical="center"/>
    </xf>
    <xf numFmtId="0" fontId="26" fillId="5" borderId="24" xfId="2" applyFont="1" applyFill="1" applyBorder="1">
      <alignment vertical="center"/>
    </xf>
    <xf numFmtId="0" fontId="24" fillId="5" borderId="24" xfId="2" applyFont="1" applyFill="1" applyBorder="1">
      <alignment vertical="center"/>
    </xf>
    <xf numFmtId="9" fontId="26" fillId="5" borderId="19" xfId="4" applyFont="1" applyFill="1" applyBorder="1" applyAlignment="1">
      <alignment horizontal="center" vertical="center"/>
    </xf>
    <xf numFmtId="0" fontId="27" fillId="5" borderId="1" xfId="2" applyFont="1" applyFill="1" applyBorder="1">
      <alignment vertical="center"/>
    </xf>
    <xf numFmtId="41" fontId="26" fillId="5" borderId="1" xfId="3" applyFont="1" applyFill="1" applyBorder="1" applyAlignment="1">
      <alignment horizontal="center" vertical="center"/>
    </xf>
    <xf numFmtId="0" fontId="21" fillId="0" borderId="25" xfId="2" applyFont="1" applyBorder="1" applyAlignment="1">
      <alignment horizontal="left" vertical="center"/>
    </xf>
    <xf numFmtId="184" fontId="18" fillId="0" borderId="0" xfId="2" applyNumberFormat="1" applyFont="1" applyAlignment="1">
      <alignment horizontal="center" vertical="center"/>
    </xf>
    <xf numFmtId="0" fontId="24" fillId="6" borderId="19" xfId="2" applyFont="1" applyFill="1" applyBorder="1" applyAlignment="1">
      <alignment horizontal="center" vertical="center"/>
    </xf>
    <xf numFmtId="0" fontId="24" fillId="3" borderId="1" xfId="2" applyFont="1" applyFill="1" applyBorder="1" applyAlignment="1">
      <alignment horizontal="center" vertical="center"/>
    </xf>
    <xf numFmtId="9" fontId="24" fillId="3" borderId="1" xfId="2" applyNumberFormat="1" applyFont="1" applyFill="1" applyBorder="1" applyAlignment="1">
      <alignment horizontal="center" vertical="center"/>
    </xf>
    <xf numFmtId="0" fontId="24" fillId="3" borderId="20" xfId="2" quotePrefix="1" applyFont="1" applyFill="1" applyBorder="1" applyAlignment="1">
      <alignment horizontal="left" vertical="center" wrapText="1"/>
    </xf>
    <xf numFmtId="41" fontId="24" fillId="3" borderId="1" xfId="3" applyFont="1" applyFill="1" applyBorder="1" applyAlignment="1">
      <alignment vertical="center"/>
    </xf>
    <xf numFmtId="41" fontId="24" fillId="3" borderId="19" xfId="3" applyFont="1" applyFill="1" applyBorder="1" applyAlignment="1">
      <alignment vertical="center"/>
    </xf>
    <xf numFmtId="0" fontId="27" fillId="3" borderId="19" xfId="2" applyFont="1" applyFill="1" applyBorder="1" applyAlignment="1">
      <alignment horizontal="center" vertical="center"/>
    </xf>
    <xf numFmtId="41" fontId="24" fillId="3" borderId="21" xfId="3" applyFont="1" applyFill="1" applyBorder="1" applyAlignment="1">
      <alignment vertical="center"/>
    </xf>
    <xf numFmtId="0" fontId="27" fillId="3" borderId="1" xfId="2" applyFont="1" applyFill="1" applyBorder="1" applyAlignment="1">
      <alignment horizontal="center" vertical="center"/>
    </xf>
    <xf numFmtId="0" fontId="24" fillId="3" borderId="1" xfId="3" applyNumberFormat="1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/>
    </xf>
    <xf numFmtId="178" fontId="15" fillId="2" borderId="5" xfId="0" applyNumberFormat="1" applyFont="1" applyFill="1" applyBorder="1" applyAlignment="1">
      <alignment horizontal="center" vertical="center"/>
    </xf>
    <xf numFmtId="178" fontId="15" fillId="2" borderId="6" xfId="0" applyNumberFormat="1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178" fontId="15" fillId="2" borderId="21" xfId="0" applyNumberFormat="1" applyFont="1" applyFill="1" applyBorder="1" applyAlignment="1">
      <alignment horizontal="center" vertical="center"/>
    </xf>
    <xf numFmtId="178" fontId="15" fillId="2" borderId="22" xfId="0" applyNumberFormat="1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176" fontId="5" fillId="4" borderId="7" xfId="0" applyNumberFormat="1" applyFont="1" applyFill="1" applyBorder="1" applyAlignment="1">
      <alignment horizontal="center" vertical="center" wrapText="1"/>
    </xf>
    <xf numFmtId="176" fontId="5" fillId="4" borderId="8" xfId="0" applyNumberFormat="1" applyFont="1" applyFill="1" applyBorder="1" applyAlignment="1">
      <alignment horizontal="center" vertical="center" wrapText="1"/>
    </xf>
    <xf numFmtId="176" fontId="5" fillId="4" borderId="9" xfId="0" applyNumberFormat="1" applyFont="1" applyFill="1" applyBorder="1" applyAlignment="1">
      <alignment horizontal="center" vertical="center" wrapText="1"/>
    </xf>
    <xf numFmtId="176" fontId="16" fillId="0" borderId="10" xfId="0" applyNumberFormat="1" applyFont="1" applyBorder="1" applyAlignment="1">
      <alignment horizontal="left" vertical="center" wrapText="1"/>
    </xf>
    <xf numFmtId="176" fontId="5" fillId="0" borderId="1" xfId="0" applyNumberFormat="1" applyFont="1" applyBorder="1" applyAlignment="1">
      <alignment horizontal="left" vertical="center" wrapText="1"/>
    </xf>
    <xf numFmtId="176" fontId="5" fillId="0" borderId="2" xfId="0" applyNumberFormat="1" applyFont="1" applyBorder="1" applyAlignment="1">
      <alignment horizontal="left" vertical="center" wrapText="1"/>
    </xf>
    <xf numFmtId="176" fontId="5" fillId="0" borderId="10" xfId="0" applyNumberFormat="1" applyFont="1" applyBorder="1" applyAlignment="1">
      <alignment horizontal="left" vertical="center" wrapText="1"/>
    </xf>
    <xf numFmtId="0" fontId="15" fillId="5" borderId="10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178" fontId="15" fillId="5" borderId="1" xfId="0" applyNumberFormat="1" applyFont="1" applyFill="1" applyBorder="1" applyAlignment="1">
      <alignment horizontal="center" vertical="center"/>
    </xf>
    <xf numFmtId="178" fontId="15" fillId="5" borderId="2" xfId="0" applyNumberFormat="1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right" vertical="center"/>
    </xf>
    <xf numFmtId="0" fontId="9" fillId="4" borderId="13" xfId="0" applyFont="1" applyFill="1" applyBorder="1" applyAlignment="1">
      <alignment horizontal="right" vertical="center"/>
    </xf>
    <xf numFmtId="0" fontId="10" fillId="4" borderId="1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left" vertical="center" wrapText="1"/>
    </xf>
    <xf numFmtId="176" fontId="6" fillId="0" borderId="2" xfId="0" applyNumberFormat="1" applyFont="1" applyBorder="1" applyAlignment="1">
      <alignment horizontal="left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29" fillId="4" borderId="7" xfId="0" applyFont="1" applyFill="1" applyBorder="1" applyAlignment="1">
      <alignment horizontal="center" vertical="center"/>
    </xf>
    <xf numFmtId="0" fontId="30" fillId="4" borderId="8" xfId="0" applyFont="1" applyFill="1" applyBorder="1" applyAlignment="1"/>
    <xf numFmtId="0" fontId="30" fillId="4" borderId="9" xfId="0" applyFont="1" applyFill="1" applyBorder="1" applyAlignment="1"/>
    <xf numFmtId="0" fontId="6" fillId="0" borderId="10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24" fillId="3" borderId="21" xfId="2" applyFont="1" applyFill="1" applyBorder="1" applyAlignment="1">
      <alignment horizontal="center" vertical="center"/>
    </xf>
    <xf numFmtId="0" fontId="24" fillId="3" borderId="24" xfId="2" applyFont="1" applyFill="1" applyBorder="1" applyAlignment="1">
      <alignment horizontal="center" vertical="center"/>
    </xf>
    <xf numFmtId="0" fontId="24" fillId="3" borderId="19" xfId="2" applyFont="1" applyFill="1" applyBorder="1" applyAlignment="1">
      <alignment horizontal="center" vertical="center"/>
    </xf>
    <xf numFmtId="0" fontId="20" fillId="0" borderId="0" xfId="2" applyFont="1" applyAlignment="1">
      <alignment horizontal="center" vertical="center"/>
    </xf>
    <xf numFmtId="0" fontId="24" fillId="3" borderId="1" xfId="2" applyFont="1" applyFill="1" applyBorder="1" applyAlignment="1">
      <alignment horizontal="center" vertical="center"/>
    </xf>
    <xf numFmtId="180" fontId="18" fillId="5" borderId="21" xfId="3" applyNumberFormat="1" applyFont="1" applyFill="1" applyBorder="1" applyAlignment="1">
      <alignment horizontal="center" vertical="center"/>
    </xf>
    <xf numFmtId="180" fontId="18" fillId="5" borderId="19" xfId="3" applyNumberFormat="1" applyFont="1" applyFill="1" applyBorder="1" applyAlignment="1">
      <alignment horizontal="center" vertical="center"/>
    </xf>
    <xf numFmtId="0" fontId="24" fillId="0" borderId="1" xfId="2" applyFont="1" applyBorder="1" applyAlignment="1">
      <alignment horizontal="center" vertical="center"/>
    </xf>
    <xf numFmtId="0" fontId="24" fillId="6" borderId="1" xfId="2" applyFont="1" applyFill="1" applyBorder="1" applyAlignment="1">
      <alignment horizontal="center" vertical="center"/>
    </xf>
    <xf numFmtId="0" fontId="15" fillId="5" borderId="18" xfId="0" applyFont="1" applyFill="1" applyBorder="1" applyAlignment="1">
      <alignment horizontal="center" vertical="center"/>
    </xf>
    <xf numFmtId="0" fontId="15" fillId="5" borderId="24" xfId="0" applyFont="1" applyFill="1" applyBorder="1" applyAlignment="1">
      <alignment horizontal="center" vertical="center"/>
    </xf>
    <xf numFmtId="0" fontId="15" fillId="5" borderId="19" xfId="0" applyFont="1" applyFill="1" applyBorder="1" applyAlignment="1">
      <alignment horizontal="center" vertical="center"/>
    </xf>
    <xf numFmtId="9" fontId="15" fillId="5" borderId="21" xfId="5" applyFont="1" applyFill="1" applyBorder="1" applyAlignment="1">
      <alignment horizontal="center" vertical="center"/>
    </xf>
    <xf numFmtId="9" fontId="15" fillId="5" borderId="22" xfId="5" applyFont="1" applyFill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183" fontId="25" fillId="5" borderId="19" xfId="3" applyNumberFormat="1" applyFont="1" applyFill="1" applyBorder="1" applyAlignment="1">
      <alignment horizontal="center" vertical="center"/>
    </xf>
    <xf numFmtId="0" fontId="24" fillId="3" borderId="20" xfId="2" quotePrefix="1" applyFont="1" applyFill="1" applyBorder="1" applyAlignment="1">
      <alignment horizontal="center" vertical="center" wrapText="1"/>
    </xf>
    <xf numFmtId="0" fontId="24" fillId="3" borderId="23" xfId="2" quotePrefix="1" applyFont="1" applyFill="1" applyBorder="1" applyAlignment="1">
      <alignment horizontal="center" vertical="center" wrapText="1"/>
    </xf>
    <xf numFmtId="0" fontId="24" fillId="3" borderId="8" xfId="2" quotePrefix="1" applyFont="1" applyFill="1" applyBorder="1" applyAlignment="1">
      <alignment horizontal="center" vertical="center" wrapText="1"/>
    </xf>
    <xf numFmtId="0" fontId="26" fillId="0" borderId="21" xfId="2" applyFont="1" applyBorder="1" applyAlignment="1">
      <alignment horizontal="center" vertical="center"/>
    </xf>
    <xf numFmtId="0" fontId="26" fillId="0" borderId="24" xfId="2" applyFont="1" applyBorder="1" applyAlignment="1">
      <alignment horizontal="center" vertical="center"/>
    </xf>
    <xf numFmtId="0" fontId="26" fillId="0" borderId="19" xfId="2" applyFont="1" applyBorder="1" applyAlignment="1">
      <alignment horizontal="center" vertical="center"/>
    </xf>
    <xf numFmtId="0" fontId="24" fillId="3" borderId="20" xfId="2" quotePrefix="1" applyFont="1" applyFill="1" applyBorder="1" applyAlignment="1">
      <alignment horizontal="center" vertical="center"/>
    </xf>
    <xf numFmtId="0" fontId="1" fillId="0" borderId="21" xfId="2" applyFont="1" applyBorder="1" applyAlignment="1">
      <alignment horizontal="center" vertical="center"/>
    </xf>
    <xf numFmtId="2" fontId="24" fillId="5" borderId="20" xfId="3" applyNumberFormat="1" applyFont="1" applyFill="1" applyBorder="1" applyAlignment="1">
      <alignment horizontal="center" vertical="center"/>
    </xf>
    <xf numFmtId="0" fontId="1" fillId="0" borderId="24" xfId="2" applyFont="1" applyBorder="1" applyAlignment="1">
      <alignment horizontal="center" vertical="center"/>
    </xf>
    <xf numFmtId="0" fontId="1" fillId="0" borderId="19" xfId="2" applyFont="1" applyBorder="1" applyAlignment="1">
      <alignment horizontal="center" vertical="center"/>
    </xf>
    <xf numFmtId="0" fontId="2" fillId="0" borderId="1" xfId="2" applyFill="1" applyBorder="1" applyAlignment="1">
      <alignment horizontal="center" vertical="center"/>
    </xf>
    <xf numFmtId="0" fontId="2" fillId="0" borderId="1" xfId="2" applyFill="1" applyBorder="1" applyAlignment="1">
      <alignment horizontal="center" vertical="center"/>
    </xf>
    <xf numFmtId="2" fontId="2" fillId="0" borderId="1" xfId="2" applyNumberFormat="1" applyFill="1" applyBorder="1" applyAlignment="1">
      <alignment horizontal="center" vertical="center"/>
    </xf>
    <xf numFmtId="0" fontId="2" fillId="0" borderId="1" xfId="2" applyFill="1" applyBorder="1" applyAlignment="1">
      <alignment horizontal="center" vertical="center" wrapText="1"/>
    </xf>
    <xf numFmtId="189" fontId="28" fillId="0" borderId="1" xfId="2" applyNumberFormat="1" applyFont="1" applyFill="1" applyBorder="1" applyAlignment="1">
      <alignment horizontal="center" vertical="center"/>
    </xf>
    <xf numFmtId="191" fontId="24" fillId="6" borderId="19" xfId="3" applyNumberFormat="1" applyFont="1" applyFill="1" applyBorder="1" applyAlignment="1">
      <alignment vertical="center"/>
    </xf>
    <xf numFmtId="41" fontId="24" fillId="6" borderId="19" xfId="3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5" fontId="5" fillId="0" borderId="21" xfId="0" applyNumberFormat="1" applyFont="1" applyBorder="1" applyAlignment="1">
      <alignment horizontal="center" vertical="center"/>
    </xf>
    <xf numFmtId="5" fontId="5" fillId="0" borderId="24" xfId="0" applyNumberFormat="1" applyFont="1" applyBorder="1" applyAlignment="1">
      <alignment horizontal="center" vertical="center"/>
    </xf>
    <xf numFmtId="5" fontId="5" fillId="0" borderId="22" xfId="0" applyNumberFormat="1" applyFont="1" applyBorder="1" applyAlignment="1">
      <alignment horizontal="center" vertical="center"/>
    </xf>
  </cellXfs>
  <cellStyles count="6">
    <cellStyle name="백분율" xfId="5" builtinId="5"/>
    <cellStyle name="백분율 2" xfId="4" xr:uid="{422A9ACC-1C1A-408E-80F0-893A0F57574B}"/>
    <cellStyle name="쉼표 [0]" xfId="1" builtinId="6"/>
    <cellStyle name="쉼표 [0] 2" xfId="3" xr:uid="{11A1A99B-7538-4024-AF43-13FB0449454E}"/>
    <cellStyle name="표준" xfId="0" builtinId="0"/>
    <cellStyle name="표준 2" xfId="2" xr:uid="{809DB65C-5395-43CE-B3C7-7F15C1F3DD0A}"/>
  </cellStyles>
  <dxfs count="17">
    <dxf>
      <font>
        <color rgb="FFFFFFD5"/>
      </font>
      <fill>
        <patternFill>
          <fgColor rgb="FFFFFFD5"/>
          <bgColor rgb="FFFFFFCC"/>
        </patternFill>
      </fill>
    </dxf>
    <dxf>
      <font>
        <color rgb="FFFFFFD5"/>
      </font>
      <fill>
        <patternFill patternType="solid">
          <fgColor rgb="FFFFFFD5"/>
          <bgColor rgb="FFFFFFCC"/>
        </patternFill>
      </fill>
    </dxf>
    <dxf>
      <font>
        <color rgb="FFFFFFD5"/>
      </font>
      <fill>
        <patternFill>
          <fgColor rgb="FFFFFFD5"/>
          <bgColor rgb="FFFFFFCC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  <color indexed="64"/>
      </font>
    </dxf>
    <dxf>
      <font>
        <b/>
        <color indexed="64"/>
      </font>
    </dxf>
    <dxf>
      <font>
        <b/>
        <color indexed="64"/>
      </font>
      <border>
        <top style="thin">
          <color rgb="FF6182D6"/>
        </top>
      </border>
    </dxf>
    <dxf>
      <font>
        <b/>
        <color indexed="64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Light Style 1 - Accent 1" table="0" count="7" xr9:uid="{00000000-0011-0000-FFFF-FFFF01000000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125699</xdr:colOff>
      <xdr:row>2</xdr:row>
      <xdr:rowOff>85411</xdr:rowOff>
    </xdr:from>
    <xdr:to>
      <xdr:col>7</xdr:col>
      <xdr:colOff>899483</xdr:colOff>
      <xdr:row>3</xdr:row>
      <xdr:rowOff>356153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D12301E-32AB-5D62-A681-D380B5FA0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0438" y="830846"/>
          <a:ext cx="3929458" cy="709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57151</xdr:rowOff>
    </xdr:from>
    <xdr:to>
      <xdr:col>1</xdr:col>
      <xdr:colOff>1171575</xdr:colOff>
      <xdr:row>2</xdr:row>
      <xdr:rowOff>7727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47123BE-DD00-40E9-BCF2-BADAC029C6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33350" y="57151"/>
          <a:ext cx="2228850" cy="4268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VR29"/>
  <sheetViews>
    <sheetView tabSelected="1" view="pageBreakPreview" zoomScale="85" zoomScaleNormal="100" zoomScaleSheetLayoutView="85" workbookViewId="0">
      <selection activeCell="A2" sqref="A2:H2"/>
    </sheetView>
  </sheetViews>
  <sheetFormatPr defaultColWidth="8.77734375" defaultRowHeight="13.5"/>
  <cols>
    <col min="1" max="1" width="12.21875" style="1" customWidth="1"/>
    <col min="2" max="2" width="11" style="1" customWidth="1"/>
    <col min="3" max="3" width="15.33203125" style="1" customWidth="1"/>
    <col min="4" max="4" width="9.44140625" style="1" customWidth="1"/>
    <col min="5" max="5" width="8.77734375" style="1" customWidth="1"/>
    <col min="6" max="6" width="11.77734375" style="1" customWidth="1"/>
    <col min="7" max="7" width="16.21875" style="1" customWidth="1"/>
    <col min="8" max="8" width="12.5546875" style="1" customWidth="1"/>
    <col min="9" max="9" width="156.77734375" style="1" customWidth="1"/>
    <col min="10" max="10" width="35.33203125" style="1" customWidth="1"/>
    <col min="257" max="257" width="8.5546875" style="1" customWidth="1"/>
    <col min="258" max="258" width="13.77734375" style="1" customWidth="1"/>
    <col min="259" max="259" width="9" style="1" customWidth="1"/>
    <col min="260" max="260" width="9.44140625" style="1" customWidth="1"/>
    <col min="261" max="261" width="8.77734375" style="1" customWidth="1"/>
    <col min="263" max="263" width="16.6640625" style="1" customWidth="1"/>
    <col min="264" max="264" width="11.33203125" style="1" customWidth="1"/>
    <col min="265" max="265" width="6.88671875" style="1" customWidth="1"/>
    <col min="266" max="266" width="35.33203125" style="1" customWidth="1"/>
    <col min="513" max="513" width="8.5546875" style="1" customWidth="1"/>
    <col min="514" max="514" width="13.77734375" style="1" customWidth="1"/>
    <col min="515" max="515" width="9" style="1" customWidth="1"/>
    <col min="516" max="516" width="9.44140625" style="1" customWidth="1"/>
    <col min="517" max="517" width="8.77734375" style="1" customWidth="1"/>
    <col min="519" max="519" width="16.6640625" style="1" customWidth="1"/>
    <col min="520" max="520" width="11.33203125" style="1" customWidth="1"/>
    <col min="521" max="521" width="6.88671875" style="1" customWidth="1"/>
    <col min="522" max="522" width="35.33203125" style="1" customWidth="1"/>
    <col min="769" max="769" width="8.5546875" style="1" customWidth="1"/>
    <col min="770" max="770" width="13.77734375" style="1" customWidth="1"/>
    <col min="771" max="771" width="9" style="1" customWidth="1"/>
    <col min="772" max="772" width="9.44140625" style="1" customWidth="1"/>
    <col min="773" max="773" width="8.77734375" style="1" customWidth="1"/>
    <col min="775" max="775" width="16.6640625" style="1" customWidth="1"/>
    <col min="776" max="776" width="11.33203125" style="1" customWidth="1"/>
    <col min="777" max="777" width="6.88671875" style="1" customWidth="1"/>
    <col min="778" max="778" width="35.33203125" style="1" customWidth="1"/>
    <col min="1025" max="1025" width="8.5546875" style="1" customWidth="1"/>
    <col min="1026" max="1026" width="13.77734375" style="1" customWidth="1"/>
    <col min="1027" max="1027" width="9" style="1" customWidth="1"/>
    <col min="1028" max="1028" width="9.44140625" style="1" customWidth="1"/>
    <col min="1029" max="1029" width="8.77734375" style="1" customWidth="1"/>
    <col min="1031" max="1031" width="16.6640625" style="1" customWidth="1"/>
    <col min="1032" max="1032" width="11.33203125" style="1" customWidth="1"/>
    <col min="1033" max="1033" width="6.88671875" style="1" customWidth="1"/>
    <col min="1034" max="1034" width="35.33203125" style="1" customWidth="1"/>
    <col min="1281" max="1281" width="8.5546875" style="1" customWidth="1"/>
    <col min="1282" max="1282" width="13.77734375" style="1" customWidth="1"/>
    <col min="1283" max="1283" width="9" style="1" customWidth="1"/>
    <col min="1284" max="1284" width="9.44140625" style="1" customWidth="1"/>
    <col min="1285" max="1285" width="8.77734375" style="1" customWidth="1"/>
    <col min="1287" max="1287" width="16.6640625" style="1" customWidth="1"/>
    <col min="1288" max="1288" width="11.33203125" style="1" customWidth="1"/>
    <col min="1289" max="1289" width="6.88671875" style="1" customWidth="1"/>
    <col min="1290" max="1290" width="35.33203125" style="1" customWidth="1"/>
    <col min="1537" max="1537" width="8.5546875" style="1" customWidth="1"/>
    <col min="1538" max="1538" width="13.77734375" style="1" customWidth="1"/>
    <col min="1539" max="1539" width="9" style="1" customWidth="1"/>
    <col min="1540" max="1540" width="9.44140625" style="1" customWidth="1"/>
    <col min="1541" max="1541" width="8.77734375" style="1" customWidth="1"/>
    <col min="1543" max="1543" width="16.6640625" style="1" customWidth="1"/>
    <col min="1544" max="1544" width="11.33203125" style="1" customWidth="1"/>
    <col min="1545" max="1545" width="6.88671875" style="1" customWidth="1"/>
    <col min="1546" max="1546" width="35.33203125" style="1" customWidth="1"/>
    <col min="1793" max="1793" width="8.5546875" style="1" customWidth="1"/>
    <col min="1794" max="1794" width="13.77734375" style="1" customWidth="1"/>
    <col min="1795" max="1795" width="9" style="1" customWidth="1"/>
    <col min="1796" max="1796" width="9.44140625" style="1" customWidth="1"/>
    <col min="1797" max="1797" width="8.77734375" style="1" customWidth="1"/>
    <col min="1799" max="1799" width="16.6640625" style="1" customWidth="1"/>
    <col min="1800" max="1800" width="11.33203125" style="1" customWidth="1"/>
    <col min="1801" max="1801" width="6.88671875" style="1" customWidth="1"/>
    <col min="1802" max="1802" width="35.33203125" style="1" customWidth="1"/>
    <col min="2049" max="2049" width="8.5546875" style="1" customWidth="1"/>
    <col min="2050" max="2050" width="13.77734375" style="1" customWidth="1"/>
    <col min="2051" max="2051" width="9" style="1" customWidth="1"/>
    <col min="2052" max="2052" width="9.44140625" style="1" customWidth="1"/>
    <col min="2053" max="2053" width="8.77734375" style="1" customWidth="1"/>
    <col min="2055" max="2055" width="16.6640625" style="1" customWidth="1"/>
    <col min="2056" max="2056" width="11.33203125" style="1" customWidth="1"/>
    <col min="2057" max="2057" width="6.88671875" style="1" customWidth="1"/>
    <col min="2058" max="2058" width="35.33203125" style="1" customWidth="1"/>
    <col min="2305" max="2305" width="8.5546875" style="1" customWidth="1"/>
    <col min="2306" max="2306" width="13.77734375" style="1" customWidth="1"/>
    <col min="2307" max="2307" width="9" style="1" customWidth="1"/>
    <col min="2308" max="2308" width="9.44140625" style="1" customWidth="1"/>
    <col min="2309" max="2309" width="8.77734375" style="1" customWidth="1"/>
    <col min="2311" max="2311" width="16.6640625" style="1" customWidth="1"/>
    <col min="2312" max="2312" width="11.33203125" style="1" customWidth="1"/>
    <col min="2313" max="2313" width="6.88671875" style="1" customWidth="1"/>
    <col min="2314" max="2314" width="35.33203125" style="1" customWidth="1"/>
    <col min="2561" max="2561" width="8.5546875" style="1" customWidth="1"/>
    <col min="2562" max="2562" width="13.77734375" style="1" customWidth="1"/>
    <col min="2563" max="2563" width="9" style="1" customWidth="1"/>
    <col min="2564" max="2564" width="9.44140625" style="1" customWidth="1"/>
    <col min="2565" max="2565" width="8.77734375" style="1" customWidth="1"/>
    <col min="2567" max="2567" width="16.6640625" style="1" customWidth="1"/>
    <col min="2568" max="2568" width="11.33203125" style="1" customWidth="1"/>
    <col min="2569" max="2569" width="6.88671875" style="1" customWidth="1"/>
    <col min="2570" max="2570" width="35.33203125" style="1" customWidth="1"/>
    <col min="2817" max="2817" width="8.5546875" style="1" customWidth="1"/>
    <col min="2818" max="2818" width="13.77734375" style="1" customWidth="1"/>
    <col min="2819" max="2819" width="9" style="1" customWidth="1"/>
    <col min="2820" max="2820" width="9.44140625" style="1" customWidth="1"/>
    <col min="2821" max="2821" width="8.77734375" style="1" customWidth="1"/>
    <col min="2823" max="2823" width="16.6640625" style="1" customWidth="1"/>
    <col min="2824" max="2824" width="11.33203125" style="1" customWidth="1"/>
    <col min="2825" max="2825" width="6.88671875" style="1" customWidth="1"/>
    <col min="2826" max="2826" width="35.33203125" style="1" customWidth="1"/>
    <col min="3073" max="3073" width="8.5546875" style="1" customWidth="1"/>
    <col min="3074" max="3074" width="13.77734375" style="1" customWidth="1"/>
    <col min="3075" max="3075" width="9" style="1" customWidth="1"/>
    <col min="3076" max="3076" width="9.44140625" style="1" customWidth="1"/>
    <col min="3077" max="3077" width="8.77734375" style="1" customWidth="1"/>
    <col min="3079" max="3079" width="16.6640625" style="1" customWidth="1"/>
    <col min="3080" max="3080" width="11.33203125" style="1" customWidth="1"/>
    <col min="3081" max="3081" width="6.88671875" style="1" customWidth="1"/>
    <col min="3082" max="3082" width="35.33203125" style="1" customWidth="1"/>
    <col min="3329" max="3329" width="8.5546875" style="1" customWidth="1"/>
    <col min="3330" max="3330" width="13.77734375" style="1" customWidth="1"/>
    <col min="3331" max="3331" width="9" style="1" customWidth="1"/>
    <col min="3332" max="3332" width="9.44140625" style="1" customWidth="1"/>
    <col min="3333" max="3333" width="8.77734375" style="1" customWidth="1"/>
    <col min="3335" max="3335" width="16.6640625" style="1" customWidth="1"/>
    <col min="3336" max="3336" width="11.33203125" style="1" customWidth="1"/>
    <col min="3337" max="3337" width="6.88671875" style="1" customWidth="1"/>
    <col min="3338" max="3338" width="35.33203125" style="1" customWidth="1"/>
    <col min="3585" max="3585" width="8.5546875" style="1" customWidth="1"/>
    <col min="3586" max="3586" width="13.77734375" style="1" customWidth="1"/>
    <col min="3587" max="3587" width="9" style="1" customWidth="1"/>
    <col min="3588" max="3588" width="9.44140625" style="1" customWidth="1"/>
    <col min="3589" max="3589" width="8.77734375" style="1" customWidth="1"/>
    <col min="3591" max="3591" width="16.6640625" style="1" customWidth="1"/>
    <col min="3592" max="3592" width="11.33203125" style="1" customWidth="1"/>
    <col min="3593" max="3593" width="6.88671875" style="1" customWidth="1"/>
    <col min="3594" max="3594" width="35.33203125" style="1" customWidth="1"/>
    <col min="3841" max="3841" width="8.5546875" style="1" customWidth="1"/>
    <col min="3842" max="3842" width="13.77734375" style="1" customWidth="1"/>
    <col min="3843" max="3843" width="9" style="1" customWidth="1"/>
    <col min="3844" max="3844" width="9.44140625" style="1" customWidth="1"/>
    <col min="3845" max="3845" width="8.77734375" style="1" customWidth="1"/>
    <col min="3847" max="3847" width="16.6640625" style="1" customWidth="1"/>
    <col min="3848" max="3848" width="11.33203125" style="1" customWidth="1"/>
    <col min="3849" max="3849" width="6.88671875" style="1" customWidth="1"/>
    <col min="3850" max="3850" width="35.33203125" style="1" customWidth="1"/>
    <col min="4097" max="4097" width="8.5546875" style="1" customWidth="1"/>
    <col min="4098" max="4098" width="13.77734375" style="1" customWidth="1"/>
    <col min="4099" max="4099" width="9" style="1" customWidth="1"/>
    <col min="4100" max="4100" width="9.44140625" style="1" customWidth="1"/>
    <col min="4101" max="4101" width="8.77734375" style="1" customWidth="1"/>
    <col min="4103" max="4103" width="16.6640625" style="1" customWidth="1"/>
    <col min="4104" max="4104" width="11.33203125" style="1" customWidth="1"/>
    <col min="4105" max="4105" width="6.88671875" style="1" customWidth="1"/>
    <col min="4106" max="4106" width="35.33203125" style="1" customWidth="1"/>
    <col min="4353" max="4353" width="8.5546875" style="1" customWidth="1"/>
    <col min="4354" max="4354" width="13.77734375" style="1" customWidth="1"/>
    <col min="4355" max="4355" width="9" style="1" customWidth="1"/>
    <col min="4356" max="4356" width="9.44140625" style="1" customWidth="1"/>
    <col min="4357" max="4357" width="8.77734375" style="1" customWidth="1"/>
    <col min="4359" max="4359" width="16.6640625" style="1" customWidth="1"/>
    <col min="4360" max="4360" width="11.33203125" style="1" customWidth="1"/>
    <col min="4361" max="4361" width="6.88671875" style="1" customWidth="1"/>
    <col min="4362" max="4362" width="35.33203125" style="1" customWidth="1"/>
    <col min="4609" max="4609" width="8.5546875" style="1" customWidth="1"/>
    <col min="4610" max="4610" width="13.77734375" style="1" customWidth="1"/>
    <col min="4611" max="4611" width="9" style="1" customWidth="1"/>
    <col min="4612" max="4612" width="9.44140625" style="1" customWidth="1"/>
    <col min="4613" max="4613" width="8.77734375" style="1" customWidth="1"/>
    <col min="4615" max="4615" width="16.6640625" style="1" customWidth="1"/>
    <col min="4616" max="4616" width="11.33203125" style="1" customWidth="1"/>
    <col min="4617" max="4617" width="6.88671875" style="1" customWidth="1"/>
    <col min="4618" max="4618" width="35.33203125" style="1" customWidth="1"/>
    <col min="4865" max="4865" width="8.5546875" style="1" customWidth="1"/>
    <col min="4866" max="4866" width="13.77734375" style="1" customWidth="1"/>
    <col min="4867" max="4867" width="9" style="1" customWidth="1"/>
    <col min="4868" max="4868" width="9.44140625" style="1" customWidth="1"/>
    <col min="4869" max="4869" width="8.77734375" style="1" customWidth="1"/>
    <col min="4871" max="4871" width="16.6640625" style="1" customWidth="1"/>
    <col min="4872" max="4872" width="11.33203125" style="1" customWidth="1"/>
    <col min="4873" max="4873" width="6.88671875" style="1" customWidth="1"/>
    <col min="4874" max="4874" width="35.33203125" style="1" customWidth="1"/>
    <col min="5121" max="5121" width="8.5546875" style="1" customWidth="1"/>
    <col min="5122" max="5122" width="13.77734375" style="1" customWidth="1"/>
    <col min="5123" max="5123" width="9" style="1" customWidth="1"/>
    <col min="5124" max="5124" width="9.44140625" style="1" customWidth="1"/>
    <col min="5125" max="5125" width="8.77734375" style="1" customWidth="1"/>
    <col min="5127" max="5127" width="16.6640625" style="1" customWidth="1"/>
    <col min="5128" max="5128" width="11.33203125" style="1" customWidth="1"/>
    <col min="5129" max="5129" width="6.88671875" style="1" customWidth="1"/>
    <col min="5130" max="5130" width="35.33203125" style="1" customWidth="1"/>
    <col min="5377" max="5377" width="8.5546875" style="1" customWidth="1"/>
    <col min="5378" max="5378" width="13.77734375" style="1" customWidth="1"/>
    <col min="5379" max="5379" width="9" style="1" customWidth="1"/>
    <col min="5380" max="5380" width="9.44140625" style="1" customWidth="1"/>
    <col min="5381" max="5381" width="8.77734375" style="1" customWidth="1"/>
    <col min="5383" max="5383" width="16.6640625" style="1" customWidth="1"/>
    <col min="5384" max="5384" width="11.33203125" style="1" customWidth="1"/>
    <col min="5385" max="5385" width="6.88671875" style="1" customWidth="1"/>
    <col min="5386" max="5386" width="35.33203125" style="1" customWidth="1"/>
    <col min="5633" max="5633" width="8.5546875" style="1" customWidth="1"/>
    <col min="5634" max="5634" width="13.77734375" style="1" customWidth="1"/>
    <col min="5635" max="5635" width="9" style="1" customWidth="1"/>
    <col min="5636" max="5636" width="9.44140625" style="1" customWidth="1"/>
    <col min="5637" max="5637" width="8.77734375" style="1" customWidth="1"/>
    <col min="5639" max="5639" width="16.6640625" style="1" customWidth="1"/>
    <col min="5640" max="5640" width="11.33203125" style="1" customWidth="1"/>
    <col min="5641" max="5641" width="6.88671875" style="1" customWidth="1"/>
    <col min="5642" max="5642" width="35.33203125" style="1" customWidth="1"/>
    <col min="5889" max="5889" width="8.5546875" style="1" customWidth="1"/>
    <col min="5890" max="5890" width="13.77734375" style="1" customWidth="1"/>
    <col min="5891" max="5891" width="9" style="1" customWidth="1"/>
    <col min="5892" max="5892" width="9.44140625" style="1" customWidth="1"/>
    <col min="5893" max="5893" width="8.77734375" style="1" customWidth="1"/>
    <col min="5895" max="5895" width="16.6640625" style="1" customWidth="1"/>
    <col min="5896" max="5896" width="11.33203125" style="1" customWidth="1"/>
    <col min="5897" max="5897" width="6.88671875" style="1" customWidth="1"/>
    <col min="5898" max="5898" width="35.33203125" style="1" customWidth="1"/>
    <col min="6145" max="6145" width="8.5546875" style="1" customWidth="1"/>
    <col min="6146" max="6146" width="13.77734375" style="1" customWidth="1"/>
    <col min="6147" max="6147" width="9" style="1" customWidth="1"/>
    <col min="6148" max="6148" width="9.44140625" style="1" customWidth="1"/>
    <col min="6149" max="6149" width="8.77734375" style="1" customWidth="1"/>
    <col min="6151" max="6151" width="16.6640625" style="1" customWidth="1"/>
    <col min="6152" max="6152" width="11.33203125" style="1" customWidth="1"/>
    <col min="6153" max="6153" width="6.88671875" style="1" customWidth="1"/>
    <col min="6154" max="6154" width="35.33203125" style="1" customWidth="1"/>
    <col min="6401" max="6401" width="8.5546875" style="1" customWidth="1"/>
    <col min="6402" max="6402" width="13.77734375" style="1" customWidth="1"/>
    <col min="6403" max="6403" width="9" style="1" customWidth="1"/>
    <col min="6404" max="6404" width="9.44140625" style="1" customWidth="1"/>
    <col min="6405" max="6405" width="8.77734375" style="1" customWidth="1"/>
    <col min="6407" max="6407" width="16.6640625" style="1" customWidth="1"/>
    <col min="6408" max="6408" width="11.33203125" style="1" customWidth="1"/>
    <col min="6409" max="6409" width="6.88671875" style="1" customWidth="1"/>
    <col min="6410" max="6410" width="35.33203125" style="1" customWidth="1"/>
    <col min="6657" max="6657" width="8.5546875" style="1" customWidth="1"/>
    <col min="6658" max="6658" width="13.77734375" style="1" customWidth="1"/>
    <col min="6659" max="6659" width="9" style="1" customWidth="1"/>
    <col min="6660" max="6660" width="9.44140625" style="1" customWidth="1"/>
    <col min="6661" max="6661" width="8.77734375" style="1" customWidth="1"/>
    <col min="6663" max="6663" width="16.6640625" style="1" customWidth="1"/>
    <col min="6664" max="6664" width="11.33203125" style="1" customWidth="1"/>
    <col min="6665" max="6665" width="6.88671875" style="1" customWidth="1"/>
    <col min="6666" max="6666" width="35.33203125" style="1" customWidth="1"/>
    <col min="6913" max="6913" width="8.5546875" style="1" customWidth="1"/>
    <col min="6914" max="6914" width="13.77734375" style="1" customWidth="1"/>
    <col min="6915" max="6915" width="9" style="1" customWidth="1"/>
    <col min="6916" max="6916" width="9.44140625" style="1" customWidth="1"/>
    <col min="6917" max="6917" width="8.77734375" style="1" customWidth="1"/>
    <col min="6919" max="6919" width="16.6640625" style="1" customWidth="1"/>
    <col min="6920" max="6920" width="11.33203125" style="1" customWidth="1"/>
    <col min="6921" max="6921" width="6.88671875" style="1" customWidth="1"/>
    <col min="6922" max="6922" width="35.33203125" style="1" customWidth="1"/>
    <col min="7169" max="7169" width="8.5546875" style="1" customWidth="1"/>
    <col min="7170" max="7170" width="13.77734375" style="1" customWidth="1"/>
    <col min="7171" max="7171" width="9" style="1" customWidth="1"/>
    <col min="7172" max="7172" width="9.44140625" style="1" customWidth="1"/>
    <col min="7173" max="7173" width="8.77734375" style="1" customWidth="1"/>
    <col min="7175" max="7175" width="16.6640625" style="1" customWidth="1"/>
    <col min="7176" max="7176" width="11.33203125" style="1" customWidth="1"/>
    <col min="7177" max="7177" width="6.88671875" style="1" customWidth="1"/>
    <col min="7178" max="7178" width="35.33203125" style="1" customWidth="1"/>
    <col min="7425" max="7425" width="8.5546875" style="1" customWidth="1"/>
    <col min="7426" max="7426" width="13.77734375" style="1" customWidth="1"/>
    <col min="7427" max="7427" width="9" style="1" customWidth="1"/>
    <col min="7428" max="7428" width="9.44140625" style="1" customWidth="1"/>
    <col min="7429" max="7429" width="8.77734375" style="1" customWidth="1"/>
    <col min="7431" max="7431" width="16.6640625" style="1" customWidth="1"/>
    <col min="7432" max="7432" width="11.33203125" style="1" customWidth="1"/>
    <col min="7433" max="7433" width="6.88671875" style="1" customWidth="1"/>
    <col min="7434" max="7434" width="35.33203125" style="1" customWidth="1"/>
    <col min="7681" max="7681" width="8.5546875" style="1" customWidth="1"/>
    <col min="7682" max="7682" width="13.77734375" style="1" customWidth="1"/>
    <col min="7683" max="7683" width="9" style="1" customWidth="1"/>
    <col min="7684" max="7684" width="9.44140625" style="1" customWidth="1"/>
    <col min="7685" max="7685" width="8.77734375" style="1" customWidth="1"/>
    <col min="7687" max="7687" width="16.6640625" style="1" customWidth="1"/>
    <col min="7688" max="7688" width="11.33203125" style="1" customWidth="1"/>
    <col min="7689" max="7689" width="6.88671875" style="1" customWidth="1"/>
    <col min="7690" max="7690" width="35.33203125" style="1" customWidth="1"/>
    <col min="7937" max="7937" width="8.5546875" style="1" customWidth="1"/>
    <col min="7938" max="7938" width="13.77734375" style="1" customWidth="1"/>
    <col min="7939" max="7939" width="9" style="1" customWidth="1"/>
    <col min="7940" max="7940" width="9.44140625" style="1" customWidth="1"/>
    <col min="7941" max="7941" width="8.77734375" style="1" customWidth="1"/>
    <col min="7943" max="7943" width="16.6640625" style="1" customWidth="1"/>
    <col min="7944" max="7944" width="11.33203125" style="1" customWidth="1"/>
    <col min="7945" max="7945" width="6.88671875" style="1" customWidth="1"/>
    <col min="7946" max="7946" width="35.33203125" style="1" customWidth="1"/>
    <col min="8193" max="8193" width="8.5546875" style="1" customWidth="1"/>
    <col min="8194" max="8194" width="13.77734375" style="1" customWidth="1"/>
    <col min="8195" max="8195" width="9" style="1" customWidth="1"/>
    <col min="8196" max="8196" width="9.44140625" style="1" customWidth="1"/>
    <col min="8197" max="8197" width="8.77734375" style="1" customWidth="1"/>
    <col min="8199" max="8199" width="16.6640625" style="1" customWidth="1"/>
    <col min="8200" max="8200" width="11.33203125" style="1" customWidth="1"/>
    <col min="8201" max="8201" width="6.88671875" style="1" customWidth="1"/>
    <col min="8202" max="8202" width="35.33203125" style="1" customWidth="1"/>
    <col min="8449" max="8449" width="8.5546875" style="1" customWidth="1"/>
    <col min="8450" max="8450" width="13.77734375" style="1" customWidth="1"/>
    <col min="8451" max="8451" width="9" style="1" customWidth="1"/>
    <col min="8452" max="8452" width="9.44140625" style="1" customWidth="1"/>
    <col min="8453" max="8453" width="8.77734375" style="1" customWidth="1"/>
    <col min="8455" max="8455" width="16.6640625" style="1" customWidth="1"/>
    <col min="8456" max="8456" width="11.33203125" style="1" customWidth="1"/>
    <col min="8457" max="8457" width="6.88671875" style="1" customWidth="1"/>
    <col min="8458" max="8458" width="35.33203125" style="1" customWidth="1"/>
    <col min="8705" max="8705" width="8.5546875" style="1" customWidth="1"/>
    <col min="8706" max="8706" width="13.77734375" style="1" customWidth="1"/>
    <col min="8707" max="8707" width="9" style="1" customWidth="1"/>
    <col min="8708" max="8708" width="9.44140625" style="1" customWidth="1"/>
    <col min="8709" max="8709" width="8.77734375" style="1" customWidth="1"/>
    <col min="8711" max="8711" width="16.6640625" style="1" customWidth="1"/>
    <col min="8712" max="8712" width="11.33203125" style="1" customWidth="1"/>
    <col min="8713" max="8713" width="6.88671875" style="1" customWidth="1"/>
    <col min="8714" max="8714" width="35.33203125" style="1" customWidth="1"/>
    <col min="8961" max="8961" width="8.5546875" style="1" customWidth="1"/>
    <col min="8962" max="8962" width="13.77734375" style="1" customWidth="1"/>
    <col min="8963" max="8963" width="9" style="1" customWidth="1"/>
    <col min="8964" max="8964" width="9.44140625" style="1" customWidth="1"/>
    <col min="8965" max="8965" width="8.77734375" style="1" customWidth="1"/>
    <col min="8967" max="8967" width="16.6640625" style="1" customWidth="1"/>
    <col min="8968" max="8968" width="11.33203125" style="1" customWidth="1"/>
    <col min="8969" max="8969" width="6.88671875" style="1" customWidth="1"/>
    <col min="8970" max="8970" width="35.33203125" style="1" customWidth="1"/>
    <col min="9217" max="9217" width="8.5546875" style="1" customWidth="1"/>
    <col min="9218" max="9218" width="13.77734375" style="1" customWidth="1"/>
    <col min="9219" max="9219" width="9" style="1" customWidth="1"/>
    <col min="9220" max="9220" width="9.44140625" style="1" customWidth="1"/>
    <col min="9221" max="9221" width="8.77734375" style="1" customWidth="1"/>
    <col min="9223" max="9223" width="16.6640625" style="1" customWidth="1"/>
    <col min="9224" max="9224" width="11.33203125" style="1" customWidth="1"/>
    <col min="9225" max="9225" width="6.88671875" style="1" customWidth="1"/>
    <col min="9226" max="9226" width="35.33203125" style="1" customWidth="1"/>
    <col min="9473" max="9473" width="8.5546875" style="1" customWidth="1"/>
    <col min="9474" max="9474" width="13.77734375" style="1" customWidth="1"/>
    <col min="9475" max="9475" width="9" style="1" customWidth="1"/>
    <col min="9476" max="9476" width="9.44140625" style="1" customWidth="1"/>
    <col min="9477" max="9477" width="8.77734375" style="1" customWidth="1"/>
    <col min="9479" max="9479" width="16.6640625" style="1" customWidth="1"/>
    <col min="9480" max="9480" width="11.33203125" style="1" customWidth="1"/>
    <col min="9481" max="9481" width="6.88671875" style="1" customWidth="1"/>
    <col min="9482" max="9482" width="35.33203125" style="1" customWidth="1"/>
    <col min="9729" max="9729" width="8.5546875" style="1" customWidth="1"/>
    <col min="9730" max="9730" width="13.77734375" style="1" customWidth="1"/>
    <col min="9731" max="9731" width="9" style="1" customWidth="1"/>
    <col min="9732" max="9732" width="9.44140625" style="1" customWidth="1"/>
    <col min="9733" max="9733" width="8.77734375" style="1" customWidth="1"/>
    <col min="9735" max="9735" width="16.6640625" style="1" customWidth="1"/>
    <col min="9736" max="9736" width="11.33203125" style="1" customWidth="1"/>
    <col min="9737" max="9737" width="6.88671875" style="1" customWidth="1"/>
    <col min="9738" max="9738" width="35.33203125" style="1" customWidth="1"/>
    <col min="9985" max="9985" width="8.5546875" style="1" customWidth="1"/>
    <col min="9986" max="9986" width="13.77734375" style="1" customWidth="1"/>
    <col min="9987" max="9987" width="9" style="1" customWidth="1"/>
    <col min="9988" max="9988" width="9.44140625" style="1" customWidth="1"/>
    <col min="9989" max="9989" width="8.77734375" style="1" customWidth="1"/>
    <col min="9991" max="9991" width="16.6640625" style="1" customWidth="1"/>
    <col min="9992" max="9992" width="11.33203125" style="1" customWidth="1"/>
    <col min="9993" max="9993" width="6.88671875" style="1" customWidth="1"/>
    <col min="9994" max="9994" width="35.33203125" style="1" customWidth="1"/>
    <col min="10241" max="10241" width="8.5546875" style="1" customWidth="1"/>
    <col min="10242" max="10242" width="13.77734375" style="1" customWidth="1"/>
    <col min="10243" max="10243" width="9" style="1" customWidth="1"/>
    <col min="10244" max="10244" width="9.44140625" style="1" customWidth="1"/>
    <col min="10245" max="10245" width="8.77734375" style="1" customWidth="1"/>
    <col min="10247" max="10247" width="16.6640625" style="1" customWidth="1"/>
    <col min="10248" max="10248" width="11.33203125" style="1" customWidth="1"/>
    <col min="10249" max="10249" width="6.88671875" style="1" customWidth="1"/>
    <col min="10250" max="10250" width="35.33203125" style="1" customWidth="1"/>
    <col min="10497" max="10497" width="8.5546875" style="1" customWidth="1"/>
    <col min="10498" max="10498" width="13.77734375" style="1" customWidth="1"/>
    <col min="10499" max="10499" width="9" style="1" customWidth="1"/>
    <col min="10500" max="10500" width="9.44140625" style="1" customWidth="1"/>
    <col min="10501" max="10501" width="8.77734375" style="1" customWidth="1"/>
    <col min="10503" max="10503" width="16.6640625" style="1" customWidth="1"/>
    <col min="10504" max="10504" width="11.33203125" style="1" customWidth="1"/>
    <col min="10505" max="10505" width="6.88671875" style="1" customWidth="1"/>
    <col min="10506" max="10506" width="35.33203125" style="1" customWidth="1"/>
    <col min="10753" max="10753" width="8.5546875" style="1" customWidth="1"/>
    <col min="10754" max="10754" width="13.77734375" style="1" customWidth="1"/>
    <col min="10755" max="10755" width="9" style="1" customWidth="1"/>
    <col min="10756" max="10756" width="9.44140625" style="1" customWidth="1"/>
    <col min="10757" max="10757" width="8.77734375" style="1" customWidth="1"/>
    <col min="10759" max="10759" width="16.6640625" style="1" customWidth="1"/>
    <col min="10760" max="10760" width="11.33203125" style="1" customWidth="1"/>
    <col min="10761" max="10761" width="6.88671875" style="1" customWidth="1"/>
    <col min="10762" max="10762" width="35.33203125" style="1" customWidth="1"/>
    <col min="11009" max="11009" width="8.5546875" style="1" customWidth="1"/>
    <col min="11010" max="11010" width="13.77734375" style="1" customWidth="1"/>
    <col min="11011" max="11011" width="9" style="1" customWidth="1"/>
    <col min="11012" max="11012" width="9.44140625" style="1" customWidth="1"/>
    <col min="11013" max="11013" width="8.77734375" style="1" customWidth="1"/>
    <col min="11015" max="11015" width="16.6640625" style="1" customWidth="1"/>
    <col min="11016" max="11016" width="11.33203125" style="1" customWidth="1"/>
    <col min="11017" max="11017" width="6.88671875" style="1" customWidth="1"/>
    <col min="11018" max="11018" width="35.33203125" style="1" customWidth="1"/>
    <col min="11265" max="11265" width="8.5546875" style="1" customWidth="1"/>
    <col min="11266" max="11266" width="13.77734375" style="1" customWidth="1"/>
    <col min="11267" max="11267" width="9" style="1" customWidth="1"/>
    <col min="11268" max="11268" width="9.44140625" style="1" customWidth="1"/>
    <col min="11269" max="11269" width="8.77734375" style="1" customWidth="1"/>
    <col min="11271" max="11271" width="16.6640625" style="1" customWidth="1"/>
    <col min="11272" max="11272" width="11.33203125" style="1" customWidth="1"/>
    <col min="11273" max="11273" width="6.88671875" style="1" customWidth="1"/>
    <col min="11274" max="11274" width="35.33203125" style="1" customWidth="1"/>
    <col min="11521" max="11521" width="8.5546875" style="1" customWidth="1"/>
    <col min="11522" max="11522" width="13.77734375" style="1" customWidth="1"/>
    <col min="11523" max="11523" width="9" style="1" customWidth="1"/>
    <col min="11524" max="11524" width="9.44140625" style="1" customWidth="1"/>
    <col min="11525" max="11525" width="8.77734375" style="1" customWidth="1"/>
    <col min="11527" max="11527" width="16.6640625" style="1" customWidth="1"/>
    <col min="11528" max="11528" width="11.33203125" style="1" customWidth="1"/>
    <col min="11529" max="11529" width="6.88671875" style="1" customWidth="1"/>
    <col min="11530" max="11530" width="35.33203125" style="1" customWidth="1"/>
    <col min="11777" max="11777" width="8.5546875" style="1" customWidth="1"/>
    <col min="11778" max="11778" width="13.77734375" style="1" customWidth="1"/>
    <col min="11779" max="11779" width="9" style="1" customWidth="1"/>
    <col min="11780" max="11780" width="9.44140625" style="1" customWidth="1"/>
    <col min="11781" max="11781" width="8.77734375" style="1" customWidth="1"/>
    <col min="11783" max="11783" width="16.6640625" style="1" customWidth="1"/>
    <col min="11784" max="11784" width="11.33203125" style="1" customWidth="1"/>
    <col min="11785" max="11785" width="6.88671875" style="1" customWidth="1"/>
    <col min="11786" max="11786" width="35.33203125" style="1" customWidth="1"/>
    <col min="12033" max="12033" width="8.5546875" style="1" customWidth="1"/>
    <col min="12034" max="12034" width="13.77734375" style="1" customWidth="1"/>
    <col min="12035" max="12035" width="9" style="1" customWidth="1"/>
    <col min="12036" max="12036" width="9.44140625" style="1" customWidth="1"/>
    <col min="12037" max="12037" width="8.77734375" style="1" customWidth="1"/>
    <col min="12039" max="12039" width="16.6640625" style="1" customWidth="1"/>
    <col min="12040" max="12040" width="11.33203125" style="1" customWidth="1"/>
    <col min="12041" max="12041" width="6.88671875" style="1" customWidth="1"/>
    <col min="12042" max="12042" width="35.33203125" style="1" customWidth="1"/>
    <col min="12289" max="12289" width="8.5546875" style="1" customWidth="1"/>
    <col min="12290" max="12290" width="13.77734375" style="1" customWidth="1"/>
    <col min="12291" max="12291" width="9" style="1" customWidth="1"/>
    <col min="12292" max="12292" width="9.44140625" style="1" customWidth="1"/>
    <col min="12293" max="12293" width="8.77734375" style="1" customWidth="1"/>
    <col min="12295" max="12295" width="16.6640625" style="1" customWidth="1"/>
    <col min="12296" max="12296" width="11.33203125" style="1" customWidth="1"/>
    <col min="12297" max="12297" width="6.88671875" style="1" customWidth="1"/>
    <col min="12298" max="12298" width="35.33203125" style="1" customWidth="1"/>
    <col min="12545" max="12545" width="8.5546875" style="1" customWidth="1"/>
    <col min="12546" max="12546" width="13.77734375" style="1" customWidth="1"/>
    <col min="12547" max="12547" width="9" style="1" customWidth="1"/>
    <col min="12548" max="12548" width="9.44140625" style="1" customWidth="1"/>
    <col min="12549" max="12549" width="8.77734375" style="1" customWidth="1"/>
    <col min="12551" max="12551" width="16.6640625" style="1" customWidth="1"/>
    <col min="12552" max="12552" width="11.33203125" style="1" customWidth="1"/>
    <col min="12553" max="12553" width="6.88671875" style="1" customWidth="1"/>
    <col min="12554" max="12554" width="35.33203125" style="1" customWidth="1"/>
    <col min="12801" max="12801" width="8.5546875" style="1" customWidth="1"/>
    <col min="12802" max="12802" width="13.77734375" style="1" customWidth="1"/>
    <col min="12803" max="12803" width="9" style="1" customWidth="1"/>
    <col min="12804" max="12804" width="9.44140625" style="1" customWidth="1"/>
    <col min="12805" max="12805" width="8.77734375" style="1" customWidth="1"/>
    <col min="12807" max="12807" width="16.6640625" style="1" customWidth="1"/>
    <col min="12808" max="12808" width="11.33203125" style="1" customWidth="1"/>
    <col min="12809" max="12809" width="6.88671875" style="1" customWidth="1"/>
    <col min="12810" max="12810" width="35.33203125" style="1" customWidth="1"/>
    <col min="13057" max="13057" width="8.5546875" style="1" customWidth="1"/>
    <col min="13058" max="13058" width="13.77734375" style="1" customWidth="1"/>
    <col min="13059" max="13059" width="9" style="1" customWidth="1"/>
    <col min="13060" max="13060" width="9.44140625" style="1" customWidth="1"/>
    <col min="13061" max="13061" width="8.77734375" style="1" customWidth="1"/>
    <col min="13063" max="13063" width="16.6640625" style="1" customWidth="1"/>
    <col min="13064" max="13064" width="11.33203125" style="1" customWidth="1"/>
    <col min="13065" max="13065" width="6.88671875" style="1" customWidth="1"/>
    <col min="13066" max="13066" width="35.33203125" style="1" customWidth="1"/>
    <col min="13313" max="13313" width="8.5546875" style="1" customWidth="1"/>
    <col min="13314" max="13314" width="13.77734375" style="1" customWidth="1"/>
    <col min="13315" max="13315" width="9" style="1" customWidth="1"/>
    <col min="13316" max="13316" width="9.44140625" style="1" customWidth="1"/>
    <col min="13317" max="13317" width="8.77734375" style="1" customWidth="1"/>
    <col min="13319" max="13319" width="16.6640625" style="1" customWidth="1"/>
    <col min="13320" max="13320" width="11.33203125" style="1" customWidth="1"/>
    <col min="13321" max="13321" width="6.88671875" style="1" customWidth="1"/>
    <col min="13322" max="13322" width="35.33203125" style="1" customWidth="1"/>
    <col min="13569" max="13569" width="8.5546875" style="1" customWidth="1"/>
    <col min="13570" max="13570" width="13.77734375" style="1" customWidth="1"/>
    <col min="13571" max="13571" width="9" style="1" customWidth="1"/>
    <col min="13572" max="13572" width="9.44140625" style="1" customWidth="1"/>
    <col min="13573" max="13573" width="8.77734375" style="1" customWidth="1"/>
    <col min="13575" max="13575" width="16.6640625" style="1" customWidth="1"/>
    <col min="13576" max="13576" width="11.33203125" style="1" customWidth="1"/>
    <col min="13577" max="13577" width="6.88671875" style="1" customWidth="1"/>
    <col min="13578" max="13578" width="35.33203125" style="1" customWidth="1"/>
    <col min="13825" max="13825" width="8.5546875" style="1" customWidth="1"/>
    <col min="13826" max="13826" width="13.77734375" style="1" customWidth="1"/>
    <col min="13827" max="13827" width="9" style="1" customWidth="1"/>
    <col min="13828" max="13828" width="9.44140625" style="1" customWidth="1"/>
    <col min="13829" max="13829" width="8.77734375" style="1" customWidth="1"/>
    <col min="13831" max="13831" width="16.6640625" style="1" customWidth="1"/>
    <col min="13832" max="13832" width="11.33203125" style="1" customWidth="1"/>
    <col min="13833" max="13833" width="6.88671875" style="1" customWidth="1"/>
    <col min="13834" max="13834" width="35.33203125" style="1" customWidth="1"/>
    <col min="14081" max="14081" width="8.5546875" style="1" customWidth="1"/>
    <col min="14082" max="14082" width="13.77734375" style="1" customWidth="1"/>
    <col min="14083" max="14083" width="9" style="1" customWidth="1"/>
    <col min="14084" max="14084" width="9.44140625" style="1" customWidth="1"/>
    <col min="14085" max="14085" width="8.77734375" style="1" customWidth="1"/>
    <col min="14087" max="14087" width="16.6640625" style="1" customWidth="1"/>
    <col min="14088" max="14088" width="11.33203125" style="1" customWidth="1"/>
    <col min="14089" max="14089" width="6.88671875" style="1" customWidth="1"/>
    <col min="14090" max="14090" width="35.33203125" style="1" customWidth="1"/>
    <col min="14337" max="14337" width="8.5546875" style="1" customWidth="1"/>
    <col min="14338" max="14338" width="13.77734375" style="1" customWidth="1"/>
    <col min="14339" max="14339" width="9" style="1" customWidth="1"/>
    <col min="14340" max="14340" width="9.44140625" style="1" customWidth="1"/>
    <col min="14341" max="14341" width="8.77734375" style="1" customWidth="1"/>
    <col min="14343" max="14343" width="16.6640625" style="1" customWidth="1"/>
    <col min="14344" max="14344" width="11.33203125" style="1" customWidth="1"/>
    <col min="14345" max="14345" width="6.88671875" style="1" customWidth="1"/>
    <col min="14346" max="14346" width="35.33203125" style="1" customWidth="1"/>
    <col min="14593" max="14593" width="8.5546875" style="1" customWidth="1"/>
    <col min="14594" max="14594" width="13.77734375" style="1" customWidth="1"/>
    <col min="14595" max="14595" width="9" style="1" customWidth="1"/>
    <col min="14596" max="14596" width="9.44140625" style="1" customWidth="1"/>
    <col min="14597" max="14597" width="8.77734375" style="1" customWidth="1"/>
    <col min="14599" max="14599" width="16.6640625" style="1" customWidth="1"/>
    <col min="14600" max="14600" width="11.33203125" style="1" customWidth="1"/>
    <col min="14601" max="14601" width="6.88671875" style="1" customWidth="1"/>
    <col min="14602" max="14602" width="35.33203125" style="1" customWidth="1"/>
    <col min="14849" max="14849" width="8.5546875" style="1" customWidth="1"/>
    <col min="14850" max="14850" width="13.77734375" style="1" customWidth="1"/>
    <col min="14851" max="14851" width="9" style="1" customWidth="1"/>
    <col min="14852" max="14852" width="9.44140625" style="1" customWidth="1"/>
    <col min="14853" max="14853" width="8.77734375" style="1" customWidth="1"/>
    <col min="14855" max="14855" width="16.6640625" style="1" customWidth="1"/>
    <col min="14856" max="14856" width="11.33203125" style="1" customWidth="1"/>
    <col min="14857" max="14857" width="6.88671875" style="1" customWidth="1"/>
    <col min="14858" max="14858" width="35.33203125" style="1" customWidth="1"/>
    <col min="15105" max="15105" width="8.5546875" style="1" customWidth="1"/>
    <col min="15106" max="15106" width="13.77734375" style="1" customWidth="1"/>
    <col min="15107" max="15107" width="9" style="1" customWidth="1"/>
    <col min="15108" max="15108" width="9.44140625" style="1" customWidth="1"/>
    <col min="15109" max="15109" width="8.77734375" style="1" customWidth="1"/>
    <col min="15111" max="15111" width="16.6640625" style="1" customWidth="1"/>
    <col min="15112" max="15112" width="11.33203125" style="1" customWidth="1"/>
    <col min="15113" max="15113" width="6.88671875" style="1" customWidth="1"/>
    <col min="15114" max="15114" width="35.33203125" style="1" customWidth="1"/>
    <col min="15361" max="15361" width="8.5546875" style="1" customWidth="1"/>
    <col min="15362" max="15362" width="13.77734375" style="1" customWidth="1"/>
    <col min="15363" max="15363" width="9" style="1" customWidth="1"/>
    <col min="15364" max="15364" width="9.44140625" style="1" customWidth="1"/>
    <col min="15365" max="15365" width="8.77734375" style="1" customWidth="1"/>
    <col min="15367" max="15367" width="16.6640625" style="1" customWidth="1"/>
    <col min="15368" max="15368" width="11.33203125" style="1" customWidth="1"/>
    <col min="15369" max="15369" width="6.88671875" style="1" customWidth="1"/>
    <col min="15370" max="15370" width="35.33203125" style="1" customWidth="1"/>
    <col min="15617" max="15617" width="8.5546875" style="1" customWidth="1"/>
    <col min="15618" max="15618" width="13.77734375" style="1" customWidth="1"/>
    <col min="15619" max="15619" width="9" style="1" customWidth="1"/>
    <col min="15620" max="15620" width="9.44140625" style="1" customWidth="1"/>
    <col min="15621" max="15621" width="8.77734375" style="1" customWidth="1"/>
    <col min="15623" max="15623" width="16.6640625" style="1" customWidth="1"/>
    <col min="15624" max="15624" width="11.33203125" style="1" customWidth="1"/>
    <col min="15625" max="15625" width="6.88671875" style="1" customWidth="1"/>
    <col min="15626" max="15626" width="35.33203125" style="1" customWidth="1"/>
    <col min="15873" max="15873" width="8.5546875" style="1" customWidth="1"/>
    <col min="15874" max="15874" width="13.77734375" style="1" customWidth="1"/>
    <col min="15875" max="15875" width="9" style="1" customWidth="1"/>
    <col min="15876" max="15876" width="9.44140625" style="1" customWidth="1"/>
    <col min="15877" max="15877" width="8.77734375" style="1" customWidth="1"/>
    <col min="15879" max="15879" width="16.6640625" style="1" customWidth="1"/>
    <col min="15880" max="15880" width="11.33203125" style="1" customWidth="1"/>
    <col min="15881" max="15881" width="6.88671875" style="1" customWidth="1"/>
    <col min="15882" max="15882" width="35.33203125" style="1" customWidth="1"/>
    <col min="16129" max="16129" width="8.5546875" style="1" customWidth="1"/>
    <col min="16130" max="16130" width="13.77734375" style="1" customWidth="1"/>
    <col min="16131" max="16131" width="9" style="1" customWidth="1"/>
    <col min="16132" max="16132" width="9.44140625" style="1" customWidth="1"/>
    <col min="16133" max="16133" width="8.77734375" style="1" customWidth="1"/>
    <col min="16135" max="16135" width="16.6640625" style="1" customWidth="1"/>
    <col min="16136" max="16136" width="11.33203125" style="1" customWidth="1"/>
    <col min="16137" max="16137" width="6.88671875" style="1" customWidth="1"/>
    <col min="16138" max="16138" width="35.33203125" style="1" customWidth="1"/>
  </cols>
  <sheetData>
    <row r="1" spans="1:14" ht="15.2" customHeight="1">
      <c r="A1" s="67"/>
      <c r="B1" s="68"/>
      <c r="C1" s="68"/>
      <c r="D1" s="68"/>
      <c r="E1" s="68"/>
      <c r="F1" s="69"/>
      <c r="G1" s="65"/>
      <c r="H1" s="66"/>
      <c r="I1" s="2"/>
      <c r="J1" s="3"/>
      <c r="K1" s="3"/>
      <c r="L1" s="3"/>
      <c r="M1" s="3"/>
      <c r="N1" s="3"/>
    </row>
    <row r="2" spans="1:14" ht="43.5" customHeight="1">
      <c r="A2" s="81" t="s">
        <v>12</v>
      </c>
      <c r="B2" s="82"/>
      <c r="C2" s="82"/>
      <c r="D2" s="82"/>
      <c r="E2" s="82"/>
      <c r="F2" s="82"/>
      <c r="G2" s="82"/>
      <c r="H2" s="83"/>
      <c r="I2" s="2"/>
      <c r="J2" s="3"/>
      <c r="K2" s="3"/>
      <c r="L2" s="3"/>
      <c r="M2" s="3"/>
      <c r="N2" s="3"/>
    </row>
    <row r="3" spans="1:14" ht="34.9" customHeight="1">
      <c r="A3" s="74" t="s">
        <v>77</v>
      </c>
      <c r="B3" s="75"/>
      <c r="C3" s="75"/>
      <c r="D3" s="77" t="s">
        <v>92</v>
      </c>
      <c r="E3" s="126"/>
      <c r="F3" s="127"/>
      <c r="G3" s="70"/>
      <c r="H3" s="128"/>
      <c r="I3" s="3"/>
      <c r="J3" s="3"/>
      <c r="K3" s="3"/>
      <c r="L3" s="3"/>
      <c r="M3" s="3"/>
    </row>
    <row r="4" spans="1:14" ht="34.9" customHeight="1">
      <c r="A4" s="76"/>
      <c r="B4" s="75"/>
      <c r="C4" s="75"/>
      <c r="D4" s="77"/>
      <c r="E4" s="70"/>
      <c r="F4" s="70"/>
      <c r="G4" s="70"/>
      <c r="H4" s="128"/>
      <c r="I4" s="4"/>
      <c r="J4" s="3"/>
      <c r="K4" s="3"/>
      <c r="L4" s="3"/>
      <c r="M4" s="3"/>
    </row>
    <row r="5" spans="1:14" s="1" customFormat="1" ht="34.9" customHeight="1">
      <c r="A5" s="76"/>
      <c r="B5" s="75"/>
      <c r="C5" s="75"/>
      <c r="D5" s="77"/>
      <c r="E5" s="78" t="s">
        <v>76</v>
      </c>
      <c r="F5" s="79"/>
      <c r="G5" s="79"/>
      <c r="H5" s="80"/>
      <c r="I5" s="5"/>
      <c r="J5" s="5"/>
      <c r="K5" s="5"/>
      <c r="L5" s="5"/>
      <c r="M5" s="5"/>
    </row>
    <row r="6" spans="1:14" s="1" customFormat="1" ht="39.6" customHeight="1">
      <c r="A6" s="84" t="s">
        <v>4</v>
      </c>
      <c r="B6" s="70"/>
      <c r="C6" s="70" t="s">
        <v>72</v>
      </c>
      <c r="D6" s="70"/>
      <c r="E6" s="85" t="s">
        <v>73</v>
      </c>
      <c r="F6" s="78"/>
      <c r="G6" s="78"/>
      <c r="H6" s="86"/>
      <c r="I6" s="5"/>
      <c r="J6" s="5"/>
      <c r="K6" s="5"/>
      <c r="L6" s="5"/>
      <c r="M6" s="5"/>
    </row>
    <row r="7" spans="1:14" s="1" customFormat="1" ht="39.6" customHeight="1">
      <c r="A7" s="84" t="s">
        <v>2</v>
      </c>
      <c r="B7" s="70"/>
      <c r="C7" s="70" t="s">
        <v>70</v>
      </c>
      <c r="D7" s="70"/>
      <c r="E7" s="78" t="s">
        <v>74</v>
      </c>
      <c r="F7" s="79"/>
      <c r="G7" s="79"/>
      <c r="H7" s="80"/>
      <c r="I7"/>
      <c r="J7" s="5"/>
      <c r="K7" s="5"/>
      <c r="L7" s="5"/>
      <c r="M7" s="5"/>
    </row>
    <row r="8" spans="1:14" s="1" customFormat="1" ht="39.6" customHeight="1">
      <c r="A8" s="84" t="s">
        <v>0</v>
      </c>
      <c r="B8" s="70"/>
      <c r="C8" s="71" t="s">
        <v>71</v>
      </c>
      <c r="D8" s="71"/>
      <c r="E8" s="78" t="s">
        <v>75</v>
      </c>
      <c r="F8" s="78"/>
      <c r="G8" s="78"/>
      <c r="H8" s="86"/>
      <c r="I8" s="5"/>
      <c r="J8" s="5"/>
      <c r="K8" s="5"/>
      <c r="L8" s="5"/>
      <c r="M8" s="5"/>
    </row>
    <row r="9" spans="1:14" s="1" customFormat="1" ht="39.6" customHeight="1">
      <c r="A9" s="84" t="s">
        <v>5</v>
      </c>
      <c r="B9" s="70"/>
      <c r="C9" s="72" t="s">
        <v>78</v>
      </c>
      <c r="D9" s="72"/>
      <c r="E9" s="72"/>
      <c r="F9" s="72"/>
      <c r="G9" s="72"/>
      <c r="H9" s="73"/>
      <c r="I9" s="5"/>
      <c r="J9" s="5"/>
      <c r="K9" s="5"/>
      <c r="L9" s="5"/>
      <c r="M9" s="5"/>
    </row>
    <row r="10" spans="1:14" ht="39.6" customHeight="1">
      <c r="A10" s="84" t="s">
        <v>1</v>
      </c>
      <c r="B10" s="70"/>
      <c r="C10" s="129">
        <f>ROUNDDOWN(G28,3)</f>
        <v>65511468</v>
      </c>
      <c r="D10" s="130"/>
      <c r="E10" s="130"/>
      <c r="F10" s="130"/>
      <c r="G10" s="130"/>
      <c r="H10" s="131"/>
      <c r="I10" s="3"/>
      <c r="J10" s="3"/>
      <c r="K10" s="3"/>
      <c r="L10" s="3"/>
      <c r="M10" s="3"/>
      <c r="N10" s="3"/>
    </row>
    <row r="11" spans="1:14" ht="40.9" customHeight="1" thickBot="1">
      <c r="A11" s="89" t="s">
        <v>13</v>
      </c>
      <c r="B11" s="90"/>
      <c r="C11" s="90"/>
      <c r="D11" s="90"/>
      <c r="E11" s="90"/>
      <c r="F11" s="90"/>
      <c r="G11" s="90"/>
      <c r="H11" s="91"/>
      <c r="I11" s="3"/>
      <c r="J11" s="3"/>
      <c r="K11" s="3"/>
      <c r="L11" s="3"/>
      <c r="M11" s="3"/>
      <c r="N11" s="3"/>
    </row>
    <row r="12" spans="1:14" s="1" customFormat="1" ht="40.5" customHeight="1">
      <c r="A12" s="87" t="s">
        <v>6</v>
      </c>
      <c r="B12" s="88"/>
      <c r="C12" s="9" t="s">
        <v>9</v>
      </c>
      <c r="D12" s="10" t="s">
        <v>60</v>
      </c>
      <c r="E12" s="10" t="s">
        <v>61</v>
      </c>
      <c r="F12" s="10" t="s">
        <v>62</v>
      </c>
      <c r="G12" s="9" t="s">
        <v>63</v>
      </c>
      <c r="H12" s="11" t="s">
        <v>7</v>
      </c>
      <c r="I12" s="5"/>
      <c r="K12" s="5"/>
      <c r="L12" s="5"/>
      <c r="M12" s="5"/>
    </row>
    <row r="13" spans="1:14" s="1" customFormat="1" ht="40.5" customHeight="1">
      <c r="A13" s="52" t="s">
        <v>8</v>
      </c>
      <c r="B13" s="53"/>
      <c r="C13" s="12">
        <v>29984.71</v>
      </c>
      <c r="D13" s="8">
        <v>1</v>
      </c>
      <c r="E13" s="8">
        <v>15</v>
      </c>
      <c r="F13" s="7">
        <v>19851960</v>
      </c>
      <c r="G13" s="7">
        <f>D13*F13</f>
        <v>19851960</v>
      </c>
      <c r="H13" s="6"/>
      <c r="I13" s="5"/>
      <c r="K13" s="5"/>
      <c r="L13" s="5"/>
      <c r="M13" s="5"/>
    </row>
    <row r="14" spans="1:14" s="1" customFormat="1" ht="40.5" customHeight="1">
      <c r="A14" s="52" t="s">
        <v>10</v>
      </c>
      <c r="B14" s="53"/>
      <c r="C14" s="12">
        <v>29984.71</v>
      </c>
      <c r="D14" s="8">
        <v>1</v>
      </c>
      <c r="E14" s="8">
        <v>15</v>
      </c>
      <c r="F14" s="7">
        <v>19851960</v>
      </c>
      <c r="G14" s="7">
        <f t="shared" ref="G14:G15" si="0">D14*F14</f>
        <v>19851960</v>
      </c>
      <c r="H14" s="6"/>
      <c r="I14" s="5"/>
      <c r="K14" s="5"/>
      <c r="L14" s="5"/>
      <c r="M14" s="5"/>
    </row>
    <row r="15" spans="1:14" s="1" customFormat="1" ht="40.5" customHeight="1">
      <c r="A15" s="52" t="s">
        <v>11</v>
      </c>
      <c r="B15" s="53"/>
      <c r="C15" s="12">
        <v>29984.71</v>
      </c>
      <c r="D15" s="8">
        <v>1</v>
      </c>
      <c r="E15" s="8">
        <v>15</v>
      </c>
      <c r="F15" s="7">
        <v>19851960</v>
      </c>
      <c r="G15" s="7">
        <f t="shared" si="0"/>
        <v>19851960</v>
      </c>
      <c r="H15" s="6"/>
      <c r="I15" s="5"/>
      <c r="K15" s="5"/>
      <c r="L15" s="5"/>
      <c r="M15" s="5"/>
    </row>
    <row r="16" spans="1:14" s="1" customFormat="1" ht="30" customHeight="1">
      <c r="A16" s="54" t="s">
        <v>3</v>
      </c>
      <c r="B16" s="55"/>
      <c r="C16" s="55"/>
      <c r="D16" s="55"/>
      <c r="E16" s="55"/>
      <c r="F16" s="55"/>
      <c r="G16" s="55"/>
      <c r="H16" s="56"/>
      <c r="I16" s="5"/>
      <c r="J16" s="5"/>
      <c r="K16" s="5"/>
      <c r="L16" s="5"/>
      <c r="M16" s="5"/>
    </row>
    <row r="17" spans="1:13" s="1" customFormat="1" ht="8.4499999999999993" customHeight="1">
      <c r="A17" s="57" t="s">
        <v>65</v>
      </c>
      <c r="B17" s="58"/>
      <c r="C17" s="58"/>
      <c r="D17" s="58"/>
      <c r="E17" s="58"/>
      <c r="F17" s="58"/>
      <c r="G17" s="58"/>
      <c r="H17" s="59"/>
      <c r="I17" s="5"/>
      <c r="J17" s="5"/>
      <c r="K17" s="5"/>
      <c r="L17" s="5"/>
      <c r="M17" s="5"/>
    </row>
    <row r="18" spans="1:13" s="1" customFormat="1" ht="6.6" customHeight="1">
      <c r="A18" s="60"/>
      <c r="B18" s="58"/>
      <c r="C18" s="58"/>
      <c r="D18" s="58"/>
      <c r="E18" s="58"/>
      <c r="F18" s="58"/>
      <c r="G18" s="58"/>
      <c r="H18" s="59"/>
      <c r="I18" s="5"/>
      <c r="J18" s="5"/>
      <c r="K18" s="5"/>
      <c r="L18" s="5"/>
      <c r="M18" s="5"/>
    </row>
    <row r="19" spans="1:13" s="1" customFormat="1" ht="12" customHeight="1">
      <c r="A19" s="60"/>
      <c r="B19" s="58"/>
      <c r="C19" s="58"/>
      <c r="D19" s="58"/>
      <c r="E19" s="58"/>
      <c r="F19" s="58"/>
      <c r="G19" s="58"/>
      <c r="H19" s="59"/>
      <c r="I19" s="5"/>
      <c r="J19" s="5"/>
      <c r="K19" s="5"/>
      <c r="L19" s="5"/>
      <c r="M19" s="5"/>
    </row>
    <row r="20" spans="1:13" s="1" customFormat="1" ht="53.25" customHeight="1">
      <c r="A20" s="60"/>
      <c r="B20" s="58"/>
      <c r="C20" s="58"/>
      <c r="D20" s="58"/>
      <c r="E20" s="58"/>
      <c r="F20" s="58"/>
      <c r="G20" s="58"/>
      <c r="H20" s="59"/>
      <c r="I20" s="5"/>
      <c r="J20" s="5"/>
      <c r="K20" s="5"/>
      <c r="L20" s="5"/>
      <c r="M20" s="5"/>
    </row>
    <row r="21" spans="1:13" s="1" customFormat="1" ht="30.75" customHeight="1">
      <c r="A21" s="60"/>
      <c r="B21" s="58"/>
      <c r="C21" s="58"/>
      <c r="D21" s="58"/>
      <c r="E21" s="58"/>
      <c r="F21" s="58"/>
      <c r="G21" s="58"/>
      <c r="H21" s="59"/>
      <c r="I21" s="5"/>
      <c r="J21" s="5"/>
      <c r="K21" s="5"/>
      <c r="L21" s="5"/>
      <c r="M21" s="5"/>
    </row>
    <row r="22" spans="1:13" s="1" customFormat="1" ht="30.75" customHeight="1">
      <c r="A22" s="60"/>
      <c r="B22" s="58"/>
      <c r="C22" s="58"/>
      <c r="D22" s="58"/>
      <c r="E22" s="58"/>
      <c r="F22" s="58"/>
      <c r="G22" s="58"/>
      <c r="H22" s="59"/>
      <c r="I22" s="5"/>
      <c r="J22" s="5"/>
      <c r="K22" s="5"/>
      <c r="L22" s="5"/>
      <c r="M22" s="5"/>
    </row>
    <row r="23" spans="1:13" s="1" customFormat="1" ht="12.75" customHeight="1">
      <c r="A23" s="60"/>
      <c r="B23" s="58"/>
      <c r="C23" s="58"/>
      <c r="D23" s="58"/>
      <c r="E23" s="58"/>
      <c r="F23" s="58"/>
      <c r="G23" s="58"/>
      <c r="H23" s="59"/>
      <c r="I23" s="5"/>
      <c r="J23" s="5"/>
      <c r="K23" s="5"/>
      <c r="L23" s="5"/>
      <c r="M23" s="5"/>
    </row>
    <row r="24" spans="1:13" s="1" customFormat="1" ht="31.5" customHeight="1">
      <c r="A24" s="61" t="s">
        <v>16</v>
      </c>
      <c r="B24" s="62"/>
      <c r="C24" s="62"/>
      <c r="D24" s="62"/>
      <c r="E24" s="62"/>
      <c r="F24" s="62"/>
      <c r="G24" s="63">
        <f>SUM(G13:G15)</f>
        <v>59555880</v>
      </c>
      <c r="H24" s="64"/>
      <c r="I24" s="5"/>
      <c r="J24" s="5"/>
      <c r="K24" s="5"/>
      <c r="L24" s="5"/>
      <c r="M24" s="5"/>
    </row>
    <row r="25" spans="1:13" s="1" customFormat="1" ht="31.5" customHeight="1">
      <c r="A25" s="101" t="s">
        <v>68</v>
      </c>
      <c r="B25" s="102"/>
      <c r="C25" s="102"/>
      <c r="D25" s="102"/>
      <c r="E25" s="102"/>
      <c r="F25" s="103"/>
      <c r="G25" s="104">
        <v>0</v>
      </c>
      <c r="H25" s="105"/>
      <c r="I25" s="5"/>
      <c r="J25" s="5"/>
      <c r="K25" s="5"/>
      <c r="L25" s="5"/>
      <c r="M25" s="5"/>
    </row>
    <row r="26" spans="1:13" s="1" customFormat="1" ht="31.5" customHeight="1">
      <c r="A26" s="48" t="s">
        <v>17</v>
      </c>
      <c r="B26" s="49"/>
      <c r="C26" s="49"/>
      <c r="D26" s="49"/>
      <c r="E26" s="49"/>
      <c r="F26" s="49"/>
      <c r="G26" s="50">
        <f>G24-(G24*G25)</f>
        <v>59555880</v>
      </c>
      <c r="H26" s="51"/>
      <c r="I26" s="5"/>
      <c r="J26" s="5"/>
      <c r="K26" s="5"/>
      <c r="L26" s="5"/>
      <c r="M26" s="5"/>
    </row>
    <row r="27" spans="1:13" s="1" customFormat="1" ht="31.5" customHeight="1">
      <c r="A27" s="61" t="s">
        <v>14</v>
      </c>
      <c r="B27" s="62"/>
      <c r="C27" s="62"/>
      <c r="D27" s="62"/>
      <c r="E27" s="62"/>
      <c r="F27" s="62"/>
      <c r="G27" s="63">
        <f>G26*10%</f>
        <v>5955588</v>
      </c>
      <c r="H27" s="64"/>
      <c r="I27" s="5"/>
      <c r="J27" s="5"/>
      <c r="K27" s="5"/>
      <c r="L27" s="5"/>
      <c r="M27" s="5"/>
    </row>
    <row r="28" spans="1:13" s="1" customFormat="1" ht="31.5" customHeight="1" thickBot="1">
      <c r="A28" s="44" t="s">
        <v>15</v>
      </c>
      <c r="B28" s="45"/>
      <c r="C28" s="45"/>
      <c r="D28" s="45"/>
      <c r="E28" s="45"/>
      <c r="F28" s="45"/>
      <c r="G28" s="46">
        <f>G26+G27</f>
        <v>65511468</v>
      </c>
      <c r="H28" s="47"/>
      <c r="I28" s="5"/>
      <c r="J28" s="5"/>
      <c r="K28" s="5"/>
      <c r="L28" s="5"/>
      <c r="M28" s="5"/>
    </row>
    <row r="29" spans="1:13" ht="408.75" customHeight="1" thickTop="1"/>
  </sheetData>
  <mergeCells count="37">
    <mergeCell ref="A10:B10"/>
    <mergeCell ref="E7:H7"/>
    <mergeCell ref="E8:H8"/>
    <mergeCell ref="A12:B12"/>
    <mergeCell ref="A11:H11"/>
    <mergeCell ref="A9:B9"/>
    <mergeCell ref="C10:H10"/>
    <mergeCell ref="G1:H1"/>
    <mergeCell ref="A1:F1"/>
    <mergeCell ref="C7:D7"/>
    <mergeCell ref="C8:D8"/>
    <mergeCell ref="C9:H9"/>
    <mergeCell ref="A3:C5"/>
    <mergeCell ref="D3:D5"/>
    <mergeCell ref="E3:H4"/>
    <mergeCell ref="E5:H5"/>
    <mergeCell ref="A2:H2"/>
    <mergeCell ref="A6:B6"/>
    <mergeCell ref="A7:B7"/>
    <mergeCell ref="E6:H6"/>
    <mergeCell ref="C6:D6"/>
    <mergeCell ref="A8:B8"/>
    <mergeCell ref="A28:F28"/>
    <mergeCell ref="G28:H28"/>
    <mergeCell ref="A26:F26"/>
    <mergeCell ref="G26:H26"/>
    <mergeCell ref="A13:B13"/>
    <mergeCell ref="A16:H16"/>
    <mergeCell ref="A17:H23"/>
    <mergeCell ref="A24:F24"/>
    <mergeCell ref="A27:F27"/>
    <mergeCell ref="G24:H24"/>
    <mergeCell ref="G27:H27"/>
    <mergeCell ref="A15:B15"/>
    <mergeCell ref="A14:B14"/>
    <mergeCell ref="A25:F25"/>
    <mergeCell ref="G25:H25"/>
  </mergeCells>
  <phoneticPr fontId="14" type="noConversion"/>
  <pageMargins left="0.43307086614173229" right="0.23622047244094491" top="0.74803149606299213" bottom="0.74803149606299213" header="0.31496062992125984" footer="0.31496062992125984"/>
  <pageSetup paperSize="9" scale="80" orientation="portrait" r:id="rId1"/>
  <colBreaks count="1" manualBreakCount="1">
    <brk id="8" max="16383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80E0-CAEC-4367-BD5C-AFB82FF85146}">
  <sheetPr codeName="Sheet3">
    <pageSetUpPr fitToPage="1"/>
  </sheetPr>
  <dimension ref="A1:J40"/>
  <sheetViews>
    <sheetView view="pageBreakPreview" zoomScaleNormal="85" zoomScaleSheetLayoutView="100" zoomScalePageLayoutView="40" workbookViewId="0">
      <selection activeCell="B39" sqref="B39:F39"/>
    </sheetView>
  </sheetViews>
  <sheetFormatPr defaultRowHeight="20.25" customHeight="1"/>
  <cols>
    <col min="1" max="1" width="13.88671875" style="13" customWidth="1"/>
    <col min="2" max="2" width="30.109375" style="13" customWidth="1"/>
    <col min="3" max="3" width="6.109375" style="13" customWidth="1"/>
    <col min="4" max="4" width="6.109375" style="14" customWidth="1"/>
    <col min="5" max="5" width="11.21875" style="14" customWidth="1"/>
    <col min="6" max="6" width="13.6640625" style="14" customWidth="1"/>
    <col min="7" max="7" width="9.5546875" style="13" bestFit="1" customWidth="1"/>
    <col min="8" max="8" width="13.88671875" style="13" customWidth="1"/>
    <col min="9" max="9" width="6.5546875" style="14" customWidth="1"/>
    <col min="10" max="10" width="6.77734375" style="14" customWidth="1"/>
    <col min="11" max="16384" width="8.88671875" style="14"/>
  </cols>
  <sheetData>
    <row r="1" spans="1:10" ht="18.75" customHeight="1"/>
    <row r="2" spans="1:10" ht="18.75" customHeight="1"/>
    <row r="3" spans="1:10" ht="34.5" customHeight="1">
      <c r="A3" s="15"/>
      <c r="B3" s="95" t="s">
        <v>64</v>
      </c>
      <c r="C3" s="95"/>
      <c r="D3" s="95"/>
      <c r="E3" s="95"/>
      <c r="F3" s="95"/>
      <c r="G3" s="95"/>
      <c r="H3" s="17"/>
      <c r="I3" s="15"/>
      <c r="J3" s="15"/>
    </row>
    <row r="4" spans="1:10" ht="12" customHeight="1">
      <c r="A4" s="18"/>
      <c r="B4" s="19"/>
      <c r="C4" s="19"/>
      <c r="D4" s="16"/>
      <c r="E4" s="16"/>
      <c r="F4" s="16"/>
      <c r="G4" s="16"/>
      <c r="H4" s="16"/>
      <c r="I4" s="16"/>
      <c r="J4" s="16"/>
    </row>
    <row r="5" spans="1:10" ht="20.25" customHeight="1">
      <c r="A5" s="35" t="s">
        <v>18</v>
      </c>
      <c r="B5" s="35" t="s">
        <v>79</v>
      </c>
      <c r="C5" s="96" t="s">
        <v>19</v>
      </c>
      <c r="D5" s="96"/>
      <c r="E5" s="35" t="s">
        <v>20</v>
      </c>
      <c r="F5" s="96" t="s">
        <v>67</v>
      </c>
      <c r="G5" s="96"/>
      <c r="H5" s="35" t="s">
        <v>7</v>
      </c>
    </row>
    <row r="6" spans="1:10" ht="20.25" customHeight="1">
      <c r="A6" s="106" t="s">
        <v>81</v>
      </c>
      <c r="B6" s="106" t="s">
        <v>80</v>
      </c>
      <c r="C6" s="97">
        <v>29984.71</v>
      </c>
      <c r="D6" s="98"/>
      <c r="E6" s="106" t="s">
        <v>87</v>
      </c>
      <c r="F6" s="99">
        <v>1.75</v>
      </c>
      <c r="G6" s="99"/>
      <c r="H6" s="20"/>
    </row>
    <row r="7" spans="1:10" ht="20.25" customHeight="1">
      <c r="B7" s="14"/>
      <c r="C7" s="14"/>
    </row>
    <row r="8" spans="1:10" ht="20.25" customHeight="1">
      <c r="A8" s="92" t="s">
        <v>21</v>
      </c>
      <c r="B8" s="93"/>
      <c r="C8" s="93"/>
      <c r="D8" s="93"/>
      <c r="E8" s="94"/>
      <c r="F8" s="36" t="s">
        <v>22</v>
      </c>
      <c r="G8" s="35" t="s">
        <v>23</v>
      </c>
      <c r="H8" s="35" t="s">
        <v>24</v>
      </c>
    </row>
    <row r="9" spans="1:10" ht="20.25" customHeight="1">
      <c r="A9" s="114" t="s">
        <v>25</v>
      </c>
      <c r="B9" s="115" t="s">
        <v>84</v>
      </c>
      <c r="C9" s="117"/>
      <c r="D9" s="117"/>
      <c r="E9" s="118"/>
      <c r="F9" s="22" t="s">
        <v>91</v>
      </c>
      <c r="G9" s="116" t="s">
        <v>90</v>
      </c>
      <c r="H9" s="21"/>
    </row>
    <row r="10" spans="1:10" ht="20.25" customHeight="1">
      <c r="A10" s="108" t="s">
        <v>26</v>
      </c>
      <c r="B10" s="111" t="s">
        <v>82</v>
      </c>
      <c r="C10" s="112"/>
      <c r="D10" s="112"/>
      <c r="E10" s="113"/>
      <c r="F10" s="22">
        <v>624275</v>
      </c>
      <c r="G10" s="23"/>
      <c r="H10" s="24"/>
    </row>
    <row r="11" spans="1:10" ht="20.25" customHeight="1">
      <c r="A11" s="109"/>
      <c r="B11" s="111" t="s">
        <v>83</v>
      </c>
      <c r="C11" s="112"/>
      <c r="D11" s="112"/>
      <c r="E11" s="113"/>
      <c r="F11" s="22">
        <v>0</v>
      </c>
      <c r="G11" s="23"/>
      <c r="H11" s="107"/>
    </row>
    <row r="12" spans="1:10" ht="20.25" customHeight="1">
      <c r="A12" s="110"/>
      <c r="B12" s="111" t="s">
        <v>86</v>
      </c>
      <c r="C12" s="112"/>
      <c r="D12" s="112"/>
      <c r="E12" s="113"/>
      <c r="F12" s="22">
        <v>0</v>
      </c>
      <c r="G12" s="23"/>
      <c r="H12" s="107"/>
    </row>
    <row r="13" spans="1:10" ht="20.25" customHeight="1">
      <c r="A13" s="96" t="s">
        <v>28</v>
      </c>
      <c r="B13" s="96"/>
      <c r="C13" s="96"/>
      <c r="D13" s="96"/>
      <c r="E13" s="96"/>
      <c r="F13" s="38">
        <f>SUM(F9:F12)</f>
        <v>624275</v>
      </c>
      <c r="G13" s="39"/>
      <c r="H13" s="40"/>
    </row>
    <row r="14" spans="1:10" ht="20.25" customHeight="1">
      <c r="A14" s="37" t="s">
        <v>29</v>
      </c>
      <c r="B14" s="27" t="s">
        <v>30</v>
      </c>
      <c r="C14" s="28"/>
      <c r="D14" s="28"/>
      <c r="E14" s="28"/>
      <c r="F14" s="22">
        <v>7491305.5770000024</v>
      </c>
      <c r="G14" s="29">
        <v>1.2</v>
      </c>
      <c r="H14" s="30"/>
    </row>
    <row r="15" spans="1:10" ht="20.25" customHeight="1">
      <c r="A15" s="37" t="s">
        <v>31</v>
      </c>
      <c r="B15" s="27" t="s">
        <v>32</v>
      </c>
      <c r="C15" s="28"/>
      <c r="D15" s="28"/>
      <c r="E15" s="28"/>
      <c r="F15" s="31">
        <v>5493624.0898000021</v>
      </c>
      <c r="G15" s="29">
        <v>0.4</v>
      </c>
      <c r="H15" s="30"/>
    </row>
    <row r="16" spans="1:10" ht="20.25" customHeight="1">
      <c r="A16" s="96" t="s">
        <v>28</v>
      </c>
      <c r="B16" s="96"/>
      <c r="C16" s="96"/>
      <c r="D16" s="96"/>
      <c r="E16" s="96"/>
      <c r="F16" s="41">
        <v>12984929.666800003</v>
      </c>
      <c r="G16" s="38"/>
      <c r="H16" s="42"/>
    </row>
    <row r="17" spans="1:8" ht="27" customHeight="1">
      <c r="A17" s="100" t="s">
        <v>33</v>
      </c>
      <c r="B17" s="100"/>
      <c r="C17" s="100"/>
      <c r="D17" s="100"/>
      <c r="E17" s="100"/>
      <c r="F17" s="25">
        <v>19851959.779050007</v>
      </c>
      <c r="G17" s="26"/>
      <c r="H17" s="34" t="s">
        <v>66</v>
      </c>
    </row>
    <row r="18" spans="1:8" ht="13.5" customHeight="1"/>
    <row r="19" spans="1:8" ht="20.25" customHeight="1">
      <c r="A19" s="32" t="s">
        <v>85</v>
      </c>
      <c r="B19" s="19"/>
      <c r="C19" s="19"/>
      <c r="H19" s="33"/>
    </row>
    <row r="20" spans="1:8" ht="20.25" customHeight="1">
      <c r="A20" s="35" t="s">
        <v>34</v>
      </c>
      <c r="B20" s="92" t="s">
        <v>35</v>
      </c>
      <c r="C20" s="93"/>
      <c r="D20" s="93"/>
      <c r="E20" s="94"/>
      <c r="F20" s="35" t="s">
        <v>36</v>
      </c>
      <c r="G20" s="35" t="s">
        <v>37</v>
      </c>
      <c r="H20" s="43" t="s">
        <v>69</v>
      </c>
    </row>
    <row r="21" spans="1:8" ht="20.25" customHeight="1">
      <c r="A21" s="96" t="s">
        <v>38</v>
      </c>
      <c r="B21" s="119" t="s">
        <v>39</v>
      </c>
      <c r="C21" s="119"/>
      <c r="D21" s="119"/>
      <c r="E21" s="119"/>
      <c r="F21" s="120" t="s">
        <v>27</v>
      </c>
      <c r="G21" s="121"/>
      <c r="H21" s="123"/>
    </row>
    <row r="22" spans="1:8" ht="20.25" customHeight="1">
      <c r="A22" s="96"/>
      <c r="B22" s="119" t="s">
        <v>40</v>
      </c>
      <c r="C22" s="119"/>
      <c r="D22" s="119"/>
      <c r="E22" s="119"/>
      <c r="F22" s="120" t="s">
        <v>27</v>
      </c>
      <c r="G22" s="121"/>
      <c r="H22" s="123"/>
    </row>
    <row r="23" spans="1:8" ht="20.25" customHeight="1">
      <c r="A23" s="96"/>
      <c r="B23" s="119" t="s">
        <v>41</v>
      </c>
      <c r="C23" s="119"/>
      <c r="D23" s="119"/>
      <c r="E23" s="119"/>
      <c r="F23" s="120" t="s">
        <v>27</v>
      </c>
      <c r="G23" s="121"/>
      <c r="H23" s="123"/>
    </row>
    <row r="24" spans="1:8" ht="20.25" customHeight="1">
      <c r="A24" s="96"/>
      <c r="B24" s="119" t="s">
        <v>42</v>
      </c>
      <c r="C24" s="119"/>
      <c r="D24" s="119"/>
      <c r="E24" s="119"/>
      <c r="F24" s="120" t="s">
        <v>27</v>
      </c>
      <c r="G24" s="121"/>
      <c r="H24" s="123"/>
    </row>
    <row r="25" spans="1:8" ht="20.25" customHeight="1">
      <c r="A25" s="96"/>
      <c r="B25" s="119" t="s">
        <v>43</v>
      </c>
      <c r="C25" s="119"/>
      <c r="D25" s="119"/>
      <c r="E25" s="119"/>
      <c r="F25" s="120" t="s">
        <v>27</v>
      </c>
      <c r="G25" s="121"/>
      <c r="H25" s="123"/>
    </row>
    <row r="26" spans="1:8" ht="20.25" customHeight="1">
      <c r="A26" s="96"/>
      <c r="B26" s="119" t="s">
        <v>44</v>
      </c>
      <c r="C26" s="119"/>
      <c r="D26" s="119"/>
      <c r="E26" s="119"/>
      <c r="F26" s="120" t="s">
        <v>27</v>
      </c>
      <c r="G26" s="121"/>
      <c r="H26" s="123"/>
    </row>
    <row r="27" spans="1:8" ht="20.25" customHeight="1">
      <c r="A27" s="96"/>
      <c r="B27" s="119" t="s">
        <v>45</v>
      </c>
      <c r="C27" s="119"/>
      <c r="D27" s="119"/>
      <c r="E27" s="119"/>
      <c r="F27" s="120" t="s">
        <v>27</v>
      </c>
      <c r="G27" s="121"/>
      <c r="H27" s="123"/>
    </row>
    <row r="28" spans="1:8" ht="20.25" customHeight="1">
      <c r="A28" s="96"/>
      <c r="B28" s="119" t="s">
        <v>46</v>
      </c>
      <c r="C28" s="119"/>
      <c r="D28" s="119"/>
      <c r="E28" s="119"/>
      <c r="F28" s="120" t="s">
        <v>27</v>
      </c>
      <c r="G28" s="121"/>
      <c r="H28" s="123"/>
    </row>
    <row r="29" spans="1:8" ht="20.25" customHeight="1">
      <c r="A29" s="35" t="s">
        <v>47</v>
      </c>
      <c r="B29" s="119" t="s">
        <v>48</v>
      </c>
      <c r="C29" s="119"/>
      <c r="D29" s="119"/>
      <c r="E29" s="119"/>
      <c r="F29" s="120" t="s">
        <v>27</v>
      </c>
      <c r="G29" s="121"/>
      <c r="H29" s="123"/>
    </row>
    <row r="30" spans="1:8" ht="20.25" customHeight="1">
      <c r="A30" s="96" t="s">
        <v>52</v>
      </c>
      <c r="B30" s="119" t="s">
        <v>53</v>
      </c>
      <c r="C30" s="119"/>
      <c r="D30" s="119"/>
      <c r="E30" s="119"/>
      <c r="F30" s="120" t="s">
        <v>27</v>
      </c>
      <c r="G30" s="121"/>
      <c r="H30" s="123"/>
    </row>
    <row r="31" spans="1:8" ht="20.25" customHeight="1">
      <c r="A31" s="96"/>
      <c r="B31" s="119" t="s">
        <v>54</v>
      </c>
      <c r="C31" s="119"/>
      <c r="D31" s="119"/>
      <c r="E31" s="119"/>
      <c r="F31" s="120" t="s">
        <v>27</v>
      </c>
      <c r="G31" s="121"/>
      <c r="H31" s="123"/>
    </row>
    <row r="32" spans="1:8" ht="20.25" customHeight="1">
      <c r="A32" s="96"/>
      <c r="B32" s="119" t="s">
        <v>55</v>
      </c>
      <c r="C32" s="119"/>
      <c r="D32" s="119"/>
      <c r="E32" s="119"/>
      <c r="F32" s="120" t="s">
        <v>27</v>
      </c>
      <c r="G32" s="121"/>
      <c r="H32" s="123"/>
    </row>
    <row r="33" spans="1:8" ht="20.25" customHeight="1">
      <c r="A33" s="96"/>
      <c r="B33" s="119" t="s">
        <v>56</v>
      </c>
      <c r="C33" s="119"/>
      <c r="D33" s="119"/>
      <c r="E33" s="119"/>
      <c r="F33" s="120" t="s">
        <v>27</v>
      </c>
      <c r="G33" s="121"/>
      <c r="H33" s="123"/>
    </row>
    <row r="34" spans="1:8" ht="20.25" customHeight="1">
      <c r="A34" s="96"/>
      <c r="B34" s="119" t="s">
        <v>57</v>
      </c>
      <c r="C34" s="119"/>
      <c r="D34" s="119"/>
      <c r="E34" s="119"/>
      <c r="F34" s="120" t="s">
        <v>27</v>
      </c>
      <c r="G34" s="121"/>
      <c r="H34" s="123"/>
    </row>
    <row r="35" spans="1:8" ht="20.25" customHeight="1">
      <c r="A35" s="96"/>
      <c r="B35" s="119" t="s">
        <v>58</v>
      </c>
      <c r="C35" s="119"/>
      <c r="D35" s="119"/>
      <c r="E35" s="119"/>
      <c r="F35" s="120" t="s">
        <v>27</v>
      </c>
      <c r="G35" s="121"/>
      <c r="H35" s="123"/>
    </row>
    <row r="36" spans="1:8" ht="20.25" customHeight="1">
      <c r="A36" s="96"/>
      <c r="B36" s="122" t="s">
        <v>59</v>
      </c>
      <c r="C36" s="122"/>
      <c r="D36" s="122"/>
      <c r="E36" s="122"/>
      <c r="F36" s="120" t="s">
        <v>27</v>
      </c>
      <c r="G36" s="121"/>
      <c r="H36" s="123"/>
    </row>
    <row r="37" spans="1:8" ht="20.25" customHeight="1">
      <c r="A37" s="96" t="s">
        <v>49</v>
      </c>
      <c r="B37" s="119" t="s">
        <v>50</v>
      </c>
      <c r="C37" s="119"/>
      <c r="D37" s="119"/>
      <c r="E37" s="119"/>
      <c r="F37" s="120" t="s">
        <v>27</v>
      </c>
      <c r="G37" s="121"/>
      <c r="H37" s="123"/>
    </row>
    <row r="38" spans="1:8" ht="20.25" customHeight="1">
      <c r="A38" s="96"/>
      <c r="B38" s="119" t="s">
        <v>51</v>
      </c>
      <c r="C38" s="119"/>
      <c r="D38" s="119"/>
      <c r="E38" s="119"/>
      <c r="F38" s="120" t="s">
        <v>27</v>
      </c>
      <c r="G38" s="121"/>
      <c r="H38" s="123"/>
    </row>
    <row r="39" spans="1:8" ht="20.25" customHeight="1">
      <c r="A39" s="125" t="s">
        <v>88</v>
      </c>
      <c r="B39" s="100" t="s">
        <v>89</v>
      </c>
      <c r="C39" s="100"/>
      <c r="D39" s="100"/>
      <c r="E39" s="100"/>
      <c r="F39" s="100"/>
      <c r="G39" s="124">
        <f>SUM(G21:G38)</f>
        <v>0</v>
      </c>
      <c r="H39" s="26">
        <f>SUM(H21:H38)</f>
        <v>0</v>
      </c>
    </row>
    <row r="40" spans="1:8" ht="20.25" customHeight="1">
      <c r="H40" s="14"/>
    </row>
  </sheetData>
  <mergeCells count="37">
    <mergeCell ref="B10:E10"/>
    <mergeCell ref="B11:E11"/>
    <mergeCell ref="B12:E12"/>
    <mergeCell ref="A37:A38"/>
    <mergeCell ref="B39:F39"/>
    <mergeCell ref="A8:E8"/>
    <mergeCell ref="B9:E9"/>
    <mergeCell ref="B37:E37"/>
    <mergeCell ref="B36:E36"/>
    <mergeCell ref="B38:E38"/>
    <mergeCell ref="B35:E35"/>
    <mergeCell ref="B29:E29"/>
    <mergeCell ref="A30:A36"/>
    <mergeCell ref="B30:E30"/>
    <mergeCell ref="B31:E31"/>
    <mergeCell ref="B32:E32"/>
    <mergeCell ref="B33:E33"/>
    <mergeCell ref="B34:E34"/>
    <mergeCell ref="A21:A28"/>
    <mergeCell ref="B21:E21"/>
    <mergeCell ref="B22:E22"/>
    <mergeCell ref="B23:E23"/>
    <mergeCell ref="B24:E24"/>
    <mergeCell ref="B25:E25"/>
    <mergeCell ref="B26:E26"/>
    <mergeCell ref="B27:E27"/>
    <mergeCell ref="B28:E28"/>
    <mergeCell ref="B20:E20"/>
    <mergeCell ref="B3:G3"/>
    <mergeCell ref="C5:D5"/>
    <mergeCell ref="F5:G5"/>
    <mergeCell ref="C6:D6"/>
    <mergeCell ref="F6:G6"/>
    <mergeCell ref="A13:E13"/>
    <mergeCell ref="A16:E16"/>
    <mergeCell ref="A17:E17"/>
    <mergeCell ref="A10:A12"/>
  </mergeCells>
  <phoneticPr fontId="14" type="noConversion"/>
  <conditionalFormatting sqref="H21:H33">
    <cfRule type="cellIs" dxfId="2" priority="4" operator="equal">
      <formula>TRUE</formula>
    </cfRule>
  </conditionalFormatting>
  <conditionalFormatting sqref="H34:H36">
    <cfRule type="cellIs" dxfId="1" priority="3" operator="equal">
      <formula>TRUE</formula>
    </cfRule>
  </conditionalFormatting>
  <conditionalFormatting sqref="H37:H38">
    <cfRule type="cellIs" dxfId="0" priority="1" operator="equal">
      <formula>TRUE</formula>
    </cfRule>
  </conditionalFormatting>
  <pageMargins left="0.59055118110236227" right="0" top="0" bottom="0" header="0" footer="0"/>
  <pageSetup paperSize="9"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견적서</vt:lpstr>
      <vt:lpstr>세부내역</vt:lpstr>
      <vt:lpstr>견적서!Print_Area</vt:lpstr>
      <vt:lpstr>세부내역!Print_Area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Kim-hn</dc:creator>
  <cp:lastModifiedBy>준호 곽</cp:lastModifiedBy>
  <cp:revision>9</cp:revision>
  <cp:lastPrinted>2026-07-21T09:51:01Z</cp:lastPrinted>
  <dcterms:created xsi:type="dcterms:W3CDTF">2015-01-20T04:45:17Z</dcterms:created>
  <dcterms:modified xsi:type="dcterms:W3CDTF">2026-07-22T06:39:18Z</dcterms:modified>
  <cp:version>0906.0100.01</cp:version>
</cp:coreProperties>
</file>